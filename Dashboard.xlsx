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Excel\Projects\Hospital emergency dashboard\"/>
    </mc:Choice>
  </mc:AlternateContent>
  <xr:revisionPtr revIDLastSave="0" documentId="13_ncr:1_{FCF530FC-4D09-40E4-894C-7C7D301B34FE}" xr6:coauthVersionLast="47" xr6:coauthVersionMax="47" xr10:uidLastSave="{00000000-0000-0000-0000-000000000000}"/>
  <bookViews>
    <workbookView xWindow="-108" yWindow="-108" windowWidth="23256" windowHeight="13176" tabRatio="653" activeTab="1" xr2:uid="{5019A9E8-B8D1-4644-961C-911D5400AB91}"/>
  </bookViews>
  <sheets>
    <sheet name="Pivot Report" sheetId="1" r:id="rId1"/>
    <sheet name="Dashboard" sheetId="2" r:id="rId2"/>
    <sheet name="Average Waittime daily trend" sheetId="5" r:id="rId3"/>
    <sheet name="Daily ER No of Petient" sheetId="4" r:id="rId4"/>
    <sheet name="Satisfaction Score Daily Trend" sheetId="7" r:id="rId5"/>
  </sheets>
  <definedNames>
    <definedName name="Slicer_Date__Month">#N/A</definedName>
    <definedName name="Slicer_Date__Year">#N/A</definedName>
  </definedNames>
  <calcPr calcId="191029"/>
  <pivotCaches>
    <pivotCache cacheId="99" r:id="rId6"/>
    <pivotCache cacheId="100" r:id="rId7"/>
    <pivotCache cacheId="101" r:id="rId8"/>
    <pivotCache cacheId="102" r:id="rId9"/>
    <pivotCache cacheId="103" r:id="rId10"/>
    <pivotCache cacheId="104" r:id="rId11"/>
    <pivotCache cacheId="105" r:id="rId12"/>
    <pivotCache cacheId="106" r:id="rId13"/>
    <pivotCache cacheId="107" r:id="rId14"/>
    <pivotCache cacheId="108" r:id="rId15"/>
    <pivotCache cacheId="109" r:id="rId16"/>
    <pivotCache cacheId="110" r:id="rId17"/>
  </pivotCaches>
  <extLst>
    <ext xmlns:x14="http://schemas.microsoft.com/office/spreadsheetml/2009/9/main" uri="{876F7934-8845-4945-9796-88D515C7AA90}">
      <x14:pivotCaches>
        <pivotCache cacheId="1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data_6b2e2621-3db2-402d-b958-b3fed49898c9" name="Hospital_emergency_data" connection="Query - Hospital_emergency_data"/>
          <x15:modelTable id="Calender_Table_new_32d470c0-5d00-432b-80ed-93f4317d2606" name="Calender_Table_new" connection="Query - Calender_Table_new"/>
        </x15:modelTables>
        <x15:modelRelationships>
          <x15:modelRelationship fromTable="Hospital_emergency_data" fromColumn="Patient Admission Date" toTable="Calender_Table_new" toColumn="Date"/>
        </x15:modelRelationships>
        <x15:extLst>
          <ext xmlns:x16="http://schemas.microsoft.com/office/spreadsheetml/2014/11/main" uri="{9835A34E-60A6-4A7C-AAB8-D5F71C897F49}">
            <x16:modelTimeGroupings>
              <x16:modelTimeGrouping tableName="Calender_Table_new"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6" i="1" l="1"/>
  <c r="C45" i="1"/>
  <c r="B45" i="1"/>
  <c r="C46" i="1"/>
  <c r="B46"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C3CE65-9AAF-4D58-8E86-7FDBF737DFB2}" name="Query - Calender_Table_new" description="Connection to the 'Calender_Table_new' query in the workbook." type="100" refreshedVersion="8" minRefreshableVersion="5">
    <extLst>
      <ext xmlns:x15="http://schemas.microsoft.com/office/spreadsheetml/2010/11/main" uri="{DE250136-89BD-433C-8126-D09CA5730AF9}">
        <x15:connection id="017e2cdf-6f98-4aef-bca6-3299232c0dbc">
          <x15:oledbPr connection="Provider=Microsoft.Mashup.OleDb.1;Data Source=$Workbook$;Location=Calender_Table_new;Extended Properties=&quot;&quot;">
            <x15:dbTables>
              <x15:dbTable name="Calender_Table_new"/>
            </x15:dbTables>
          </x15:oledbPr>
        </x15:connection>
      </ext>
    </extLst>
  </connection>
  <connection id="2" xr16:uid="{DCA5145F-C714-4585-9FE3-E8F5888E354E}" name="Query - Hospital_emergency_data" description="Connection to the 'Hospital_emergency_data' query in the workbook." type="100" refreshedVersion="8" minRefreshableVersion="5">
    <extLst>
      <ext xmlns:x15="http://schemas.microsoft.com/office/spreadsheetml/2010/11/main" uri="{DE250136-89BD-433C-8126-D09CA5730AF9}">
        <x15:connection id="4b8e6094-806a-45ab-b947-bf353151f718"/>
      </ext>
    </extLst>
  </connection>
  <connection id="3" xr16:uid="{5465B54E-8153-4F2B-A99E-4E02F480FFA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<sst xmlns="http://schemas.openxmlformats.org/spreadsheetml/2006/main" count="153" uniqueCount="72">
  <si>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No. of patient</t>
  </si>
  <si>
    <t>Average of Patient Waittime</t>
  </si>
  <si>
    <t>Average of Patient Satisfaction Score</t>
  </si>
  <si>
    <t>Count of Patient Id</t>
  </si>
  <si>
    <t>Distinct Count of Patient Id</t>
  </si>
  <si>
    <t>Grand Total</t>
  </si>
  <si>
    <t>Row Labels</t>
  </si>
  <si>
    <t>Daily Trends of No. patients</t>
  </si>
  <si>
    <t>Average Waittime</t>
  </si>
  <si>
    <t>Satisfaction Score Daily Trends</t>
  </si>
  <si>
    <t>Count of Patient Admission Flag</t>
  </si>
  <si>
    <t>Admitted</t>
  </si>
  <si>
    <t>Not Admitted</t>
  </si>
  <si>
    <t>Count of Patient Admission Flag2</t>
  </si>
  <si>
    <t>Admission Status</t>
  </si>
  <si>
    <t>% Status</t>
  </si>
  <si>
    <t>Patient</t>
  </si>
  <si>
    <t>0-9</t>
  </si>
  <si>
    <t>10-19</t>
  </si>
  <si>
    <t>20-29</t>
  </si>
  <si>
    <t>30-39</t>
  </si>
  <si>
    <t>40-49</t>
  </si>
  <si>
    <t>50-59</t>
  </si>
  <si>
    <t>60-69</t>
  </si>
  <si>
    <t>70-79</t>
  </si>
  <si>
    <t>Count of Age Group</t>
  </si>
  <si>
    <t>Male</t>
  </si>
  <si>
    <t>None</t>
  </si>
  <si>
    <t>Delay</t>
  </si>
  <si>
    <t>Ontime</t>
  </si>
  <si>
    <t>Female</t>
  </si>
  <si>
    <t>General Practice</t>
  </si>
  <si>
    <t>Orthopedics</t>
  </si>
  <si>
    <t>Physiotherapy</t>
  </si>
  <si>
    <t>Cardiology</t>
  </si>
  <si>
    <t>Neurology</t>
  </si>
  <si>
    <t>Gastroenterology</t>
  </si>
  <si>
    <t>Renal</t>
  </si>
  <si>
    <t>Count of Patient Gender</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</si>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</sst>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0" fillId="3" borderId="0" xfId="0" applyFill="1" applyAlignment="1">
      <alignment horizontal="left"/>
    </xf>
    <xf numFmtId="0" fontId="1" fillId="4" borderId="0" xfId="0" applyFont="1" applyFill="1" applyAlignment="1">
      <alignment horizontal="left"/>
    </xf>
    <xf numFmtId="0" fontId="1" fillId="4" borderId="0" xfId="0" applyFont="1" applyFill="1"/>
    <xf numFmtId="9" fontId="0" fillId="3" borderId="0" xfId="0" applyNumberFormat="1" applyFill="1" applyAlignment="1">
      <alignment horizontal="left"/>
    </xf>
    <xf numFmtId="1" fontId="0" fillId="0" borderId="0" xfId="0" applyNumberFormat="1"/>
  </cellXfs>
  <cellStyles count="1">
    <cellStyle name="Normal" xfId="0" builtinId="0"/>
  </cellStyles>
  <dxfs count="26">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font>
        <b/>
        <color theme="1"/>
      </font>
      <border>
        <bottom style="thin">
          <color theme="7"/>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599EA8FF-7DAC-45F1-8763-5D32E9E931EF}">
      <tableStyleElement type="wholeTable" dxfId="25"/>
      <tableStyleElement type="headerRow"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0"/>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alpha val="99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59A900-3340-44C6-A586-C69648F8B352}" type="CELLRANGE">
                  <a:rPr lang="en-US"/>
                  <a:pPr>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4693775644172398"/>
                  <c:h val="0.32113824078226022"/>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35C1A90-B8A3-4071-823A-FC187D002471}" type="CELLRANGE">
                  <a:rPr lang="en-US"/>
                  <a:pPr>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718135159240664"/>
                  <c:h val="0.27521227199745418"/>
                </c:manualLayout>
              </c15:layout>
              <c15:dlblFieldTable/>
              <c15:showDataLabelsRange val="1"/>
            </c:ext>
          </c:extLst>
        </c:dLbl>
      </c:pivotFmt>
    </c:pivotFmts>
    <c:plotArea>
      <c:layout>
        <c:manualLayout>
          <c:layoutTarget val="inner"/>
          <c:xMode val="edge"/>
          <c:yMode val="edge"/>
          <c:x val="9.9262966248937226E-2"/>
          <c:y val="0.18781515946870278"/>
          <c:w val="0.84093106782704796"/>
          <c:h val="0.72193589437683914"/>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1"/>
              </a:solidFill>
              <a:ln>
                <a:solidFill>
                  <a:schemeClr val="accent1">
                    <a:alpha val="99000"/>
                  </a:schemeClr>
                </a:solidFill>
              </a:ln>
              <a:effectLst/>
            </c:spPr>
            <c:extLst>
              <c:ext xmlns:c16="http://schemas.microsoft.com/office/drawing/2014/chart" uri="{C3380CC4-5D6E-409C-BE32-E72D297353CC}">
                <c16:uniqueId val="{00000003-665F-40D9-BC11-D1DAE0F9C14B}"/>
              </c:ext>
            </c:extLst>
          </c:dPt>
          <c:dPt>
            <c:idx val="1"/>
            <c:invertIfNegative val="0"/>
            <c:bubble3D val="0"/>
            <c:extLst>
              <c:ext xmlns:c16="http://schemas.microsoft.com/office/drawing/2014/chart" uri="{C3380CC4-5D6E-409C-BE32-E72D297353CC}">
                <c16:uniqueId val="{00000004-665F-40D9-BC11-D1DAE0F9C14B}"/>
              </c:ext>
            </c:extLst>
          </c:dPt>
          <c:dLbls>
            <c:dLbl>
              <c:idx val="0"/>
              <c:tx>
                <c:rich>
                  <a:bodyPr/>
                  <a:lstStyle/>
                  <a:p>
                    <a:fld id="{A859A900-3340-44C6-A586-C69648F8B35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34693775644172398"/>
                      <c:h val="0.32113824078226022"/>
                    </c:manualLayout>
                  </c15:layout>
                  <c15:dlblFieldTable/>
                  <c15:showDataLabelsRange val="1"/>
                </c:ext>
                <c:ext xmlns:c16="http://schemas.microsoft.com/office/drawing/2014/chart" uri="{C3380CC4-5D6E-409C-BE32-E72D297353CC}">
                  <c16:uniqueId val="{00000003-665F-40D9-BC11-D1DAE0F9C14B}"/>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35C1A90-B8A3-4071-823A-FC187D002471}" type="CELLRANGE">
                      <a:rPr lang="en-US"/>
                      <a:pPr>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718135159240664"/>
                      <c:h val="0.27521227199745418"/>
                    </c:manualLayout>
                  </c15:layout>
                  <c15:dlblFieldTable/>
                  <c15:showDataLabelsRange val="1"/>
                </c:ext>
                <c:ext xmlns:c16="http://schemas.microsoft.com/office/drawing/2014/chart" uri="{C3380CC4-5D6E-409C-BE32-E72D297353CC}">
                  <c16:uniqueId val="{00000004-665F-40D9-BC11-D1DAE0F9C14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Report'!$C$39:$C$40</c:f>
              <c:strCache>
                <c:ptCount val="2"/>
                <c:pt idx="0">
                  <c:v>Admitted</c:v>
                </c:pt>
                <c:pt idx="1">
                  <c:v>Not Admitted</c:v>
                </c:pt>
              </c:strCache>
            </c:strRef>
          </c:cat>
          <c:val>
            <c:numRef>
              <c:f>'Pivot Report'!$C$39:$C$40</c:f>
              <c:numCache>
                <c:formatCode>0.00</c:formatCode>
                <c:ptCount val="2"/>
                <c:pt idx="0">
                  <c:v>269</c:v>
                </c:pt>
                <c:pt idx="1">
                  <c:v>244</c:v>
                </c:pt>
              </c:numCache>
            </c:numRef>
          </c:val>
          <c:extLst>
            <c:ext xmlns:c15="http://schemas.microsoft.com/office/drawing/2012/chart" uri="{02D57815-91ED-43cb-92C2-25804820EDAC}">
              <c15:datalabelsRange>
                <c15:f>'Pivot Report'!$C$39:$C$40</c15:f>
                <c15:dlblRangeCache>
                  <c:ptCount val="2"/>
                  <c:pt idx="0">
                    <c:v>52.44%</c:v>
                  </c:pt>
                  <c:pt idx="1">
                    <c:v>47.56%</c:v>
                  </c:pt>
                </c15:dlblRangeCache>
              </c15:datalabelsRange>
            </c:ext>
            <c:ext xmlns:c16="http://schemas.microsoft.com/office/drawing/2014/chart" uri="{C3380CC4-5D6E-409C-BE32-E72D297353CC}">
              <c16:uniqueId val="{00000000-665F-40D9-BC11-D1DAE0F9C14B}"/>
            </c:ext>
          </c:extLst>
        </c:ser>
        <c:ser>
          <c:idx val="1"/>
          <c:order val="1"/>
          <c:tx>
            <c:strRef>
              <c:f>'Pivot Report'!$C$39:$C$40</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Report'!$C$39:$C$40</c:f>
              <c:strCache>
                <c:ptCount val="2"/>
                <c:pt idx="0">
                  <c:v>Admitted</c:v>
                </c:pt>
                <c:pt idx="1">
                  <c:v>Not Admitted</c:v>
                </c:pt>
              </c:strCache>
            </c:strRef>
          </c:cat>
          <c:val>
            <c:numRef>
              <c:f>'Pivot Report'!$C$39:$C$40</c:f>
              <c:numCache>
                <c:formatCode>0.00%</c:formatCode>
                <c:ptCount val="2"/>
                <c:pt idx="0">
                  <c:v>0.52436647173489281</c:v>
                </c:pt>
                <c:pt idx="1">
                  <c:v>0.47563352826510719</c:v>
                </c:pt>
              </c:numCache>
            </c:numRef>
          </c:val>
          <c:extLst>
            <c:ext xmlns:c16="http://schemas.microsoft.com/office/drawing/2014/chart" uri="{C3380CC4-5D6E-409C-BE32-E72D297353CC}">
              <c16:uniqueId val="{00000001-665F-40D9-BC11-D1DAE0F9C14B}"/>
            </c:ext>
          </c:extLst>
        </c:ser>
        <c:dLbls>
          <c:dLblPos val="outEnd"/>
          <c:showLegendKey val="0"/>
          <c:showVal val="1"/>
          <c:showCatName val="0"/>
          <c:showSerName val="0"/>
          <c:showPercent val="0"/>
          <c:showBubbleSize val="0"/>
        </c:dLbls>
        <c:gapWidth val="141"/>
        <c:axId val="852975375"/>
        <c:axId val="852969135"/>
      </c:barChart>
      <c:catAx>
        <c:axId val="852975375"/>
        <c:scaling>
          <c:orientation val="minMax"/>
        </c:scaling>
        <c:delete val="1"/>
        <c:axPos val="l"/>
        <c:numFmt formatCode="General" sourceLinked="1"/>
        <c:majorTickMark val="out"/>
        <c:minorTickMark val="none"/>
        <c:tickLblPos val="nextTo"/>
        <c:crossAx val="852969135"/>
        <c:crosses val="autoZero"/>
        <c:auto val="1"/>
        <c:lblAlgn val="ctr"/>
        <c:lblOffset val="100"/>
        <c:noMultiLvlLbl val="0"/>
      </c:catAx>
      <c:valAx>
        <c:axId val="852969135"/>
        <c:scaling>
          <c:orientation val="minMax"/>
        </c:scaling>
        <c:delete val="1"/>
        <c:axPos val="b"/>
        <c:numFmt formatCode="General" sourceLinked="0"/>
        <c:majorTickMark val="out"/>
        <c:minorTickMark val="none"/>
        <c:tickLblPos val="nextTo"/>
        <c:crossAx val="85297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7941640204396"/>
          <c:y val="0.22435897435897437"/>
          <c:w val="0.77564116719591203"/>
          <c:h val="0.45512698430480714"/>
        </c:manualLayout>
      </c:layout>
      <c:areaChart>
        <c:grouping val="standard"/>
        <c:varyColors val="0"/>
        <c:ser>
          <c:idx val="0"/>
          <c:order val="0"/>
          <c:tx>
            <c:strRef>
              <c:f>'Pivot Report'!$F$4</c:f>
              <c:strCache>
                <c:ptCount val="1"/>
                <c:pt idx="0">
                  <c:v>Total</c:v>
                </c:pt>
              </c:strCache>
            </c:strRef>
          </c:tx>
          <c:spPr>
            <a:solidFill>
              <a:schemeClr val="accent1"/>
            </a:solidFill>
            <a:ln>
              <a:noFill/>
            </a:ln>
            <a:effectLst/>
          </c:spPr>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BF89-4E99-BF71-F420965F386D}"/>
            </c:ext>
          </c:extLst>
        </c:ser>
        <c:dLbls>
          <c:showLegendKey val="0"/>
          <c:showVal val="0"/>
          <c:showCatName val="0"/>
          <c:showSerName val="0"/>
          <c:showPercent val="0"/>
          <c:showBubbleSize val="0"/>
        </c:dLbls>
        <c:axId val="1234612752"/>
        <c:axId val="1234611312"/>
      </c:areaChart>
      <c:catAx>
        <c:axId val="1234612752"/>
        <c:scaling>
          <c:orientation val="minMax"/>
        </c:scaling>
        <c:delete val="1"/>
        <c:axPos val="b"/>
        <c:numFmt formatCode="General" sourceLinked="1"/>
        <c:majorTickMark val="out"/>
        <c:minorTickMark val="none"/>
        <c:tickLblPos val="nextTo"/>
        <c:crossAx val="1234611312"/>
        <c:crosses val="autoZero"/>
        <c:auto val="1"/>
        <c:lblAlgn val="ctr"/>
        <c:lblOffset val="100"/>
        <c:noMultiLvlLbl val="0"/>
      </c:catAx>
      <c:valAx>
        <c:axId val="1234611312"/>
        <c:scaling>
          <c:orientation val="minMax"/>
        </c:scaling>
        <c:delete val="1"/>
        <c:axPos val="l"/>
        <c:numFmt formatCode="General" sourceLinked="1"/>
        <c:majorTickMark val="none"/>
        <c:minorTickMark val="none"/>
        <c:tickLblPos val="nextTo"/>
        <c:crossAx val="1234612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78130600432765E-2"/>
          <c:y val="7.3529553669819489E-2"/>
          <c:w val="0.89884373879913448"/>
          <c:h val="0.82843104143708779"/>
        </c:manualLayout>
      </c:layout>
      <c:areaChart>
        <c:grouping val="standard"/>
        <c:varyColors val="0"/>
        <c:ser>
          <c:idx val="0"/>
          <c:order val="0"/>
          <c:tx>
            <c:strRef>
              <c:f>'Pivot Report'!$K$4</c:f>
              <c:strCache>
                <c:ptCount val="1"/>
                <c:pt idx="0">
                  <c:v>Total</c:v>
                </c:pt>
              </c:strCache>
            </c:strRef>
          </c:tx>
          <c:spPr>
            <a:solidFill>
              <a:schemeClr val="accent1"/>
            </a:solidFill>
            <a:ln>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0FBD-426C-9681-D2878706A3DC}"/>
            </c:ext>
          </c:extLst>
        </c:ser>
        <c:dLbls>
          <c:showLegendKey val="0"/>
          <c:showVal val="0"/>
          <c:showCatName val="0"/>
          <c:showSerName val="0"/>
          <c:showPercent val="0"/>
          <c:showBubbleSize val="0"/>
        </c:dLbls>
        <c:axId val="1930171184"/>
        <c:axId val="1930170224"/>
      </c:areaChart>
      <c:catAx>
        <c:axId val="1930171184"/>
        <c:scaling>
          <c:orientation val="minMax"/>
        </c:scaling>
        <c:delete val="1"/>
        <c:axPos val="b"/>
        <c:numFmt formatCode="General" sourceLinked="1"/>
        <c:majorTickMark val="out"/>
        <c:minorTickMark val="none"/>
        <c:tickLblPos val="nextTo"/>
        <c:crossAx val="1930170224"/>
        <c:crosses val="autoZero"/>
        <c:auto val="1"/>
        <c:lblAlgn val="ctr"/>
        <c:lblOffset val="100"/>
        <c:noMultiLvlLbl val="0"/>
      </c:catAx>
      <c:valAx>
        <c:axId val="1930170224"/>
        <c:scaling>
          <c:orientation val="minMax"/>
        </c:scaling>
        <c:delete val="1"/>
        <c:axPos val="l"/>
        <c:numFmt formatCode="General" sourceLinked="1"/>
        <c:majorTickMark val="out"/>
        <c:minorTickMark val="none"/>
        <c:tickLblPos val="nextTo"/>
        <c:crossAx val="1930171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93572548336531E-2"/>
          <c:y val="7.6088561289158405E-2"/>
          <c:w val="0.92067640778956716"/>
          <c:h val="0.83514480995721352"/>
        </c:manualLayout>
      </c:layout>
      <c:areaChart>
        <c:grouping val="standard"/>
        <c:varyColors val="0"/>
        <c:ser>
          <c:idx val="0"/>
          <c:order val="0"/>
          <c:tx>
            <c:strRef>
              <c:f>'Pivot Report'!$O$4</c:f>
              <c:strCache>
                <c:ptCount val="1"/>
                <c:pt idx="0">
                  <c:v>Total</c:v>
                </c:pt>
              </c:strCache>
            </c:strRef>
          </c:tx>
          <c:spPr>
            <a:solidFill>
              <a:schemeClr val="accent1"/>
            </a:solidFill>
            <a:ln>
              <a:noFill/>
            </a:ln>
            <a:effectLst/>
          </c:spPr>
          <c:cat>
            <c:strRef>
              <c:f>'Pivot Report'!$N$5:$N$36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Report'!$O$5:$O$36</c:f>
              <c:numCache>
                <c:formatCode>General</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0BCB-4579-8633-9FA4BF882DC4}"/>
            </c:ext>
          </c:extLst>
        </c:ser>
        <c:dLbls>
          <c:showLegendKey val="0"/>
          <c:showVal val="0"/>
          <c:showCatName val="0"/>
          <c:showSerName val="0"/>
          <c:showPercent val="0"/>
          <c:showBubbleSize val="0"/>
        </c:dLbls>
        <c:axId val="1234601712"/>
        <c:axId val="1234610352"/>
      </c:areaChart>
      <c:catAx>
        <c:axId val="1234601712"/>
        <c:scaling>
          <c:orientation val="minMax"/>
        </c:scaling>
        <c:delete val="1"/>
        <c:axPos val="b"/>
        <c:numFmt formatCode="General" sourceLinked="1"/>
        <c:majorTickMark val="out"/>
        <c:minorTickMark val="none"/>
        <c:tickLblPos val="nextTo"/>
        <c:crossAx val="1234610352"/>
        <c:crosses val="autoZero"/>
        <c:auto val="1"/>
        <c:lblAlgn val="ctr"/>
        <c:lblOffset val="100"/>
        <c:noMultiLvlLbl val="0"/>
      </c:catAx>
      <c:valAx>
        <c:axId val="1234610352"/>
        <c:scaling>
          <c:orientation val="minMax"/>
        </c:scaling>
        <c:delete val="1"/>
        <c:axPos val="l"/>
        <c:numFmt formatCode="General" sourceLinked="1"/>
        <c:majorTickMark val="none"/>
        <c:minorTickMark val="none"/>
        <c:tickLblPos val="nextTo"/>
        <c:crossAx val="1234601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86171006954337E-2"/>
          <c:y val="0.16122294005091736"/>
          <c:w val="0.91836302973087558"/>
          <c:h val="0.49876861219016227"/>
        </c:manualLayout>
      </c:layout>
      <c:barChart>
        <c:barDir val="col"/>
        <c:grouping val="clustered"/>
        <c:varyColors val="0"/>
        <c:ser>
          <c:idx val="0"/>
          <c:order val="0"/>
          <c:tx>
            <c:strRef>
              <c:f>'Pivot Report'!$B$51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Report'!$A$52:$A$60</c:f>
              <c:strCache>
                <c:ptCount val="8"/>
                <c:pt idx="0">
                  <c:v>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69AC-4524-B8D1-E6E8CEF04B8A}"/>
            </c:ext>
          </c:extLst>
        </c:ser>
        <c:dLbls>
          <c:dLblPos val="inEnd"/>
          <c:showLegendKey val="0"/>
          <c:showVal val="1"/>
          <c:showCatName val="0"/>
          <c:showSerName val="0"/>
          <c:showPercent val="0"/>
          <c:showBubbleSize val="0"/>
        </c:dLbls>
        <c:gapWidth val="65"/>
        <c:axId val="12183375"/>
        <c:axId val="12184335"/>
      </c:barChart>
      <c:catAx>
        <c:axId val="121833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84335"/>
        <c:crosses val="autoZero"/>
        <c:auto val="1"/>
        <c:lblAlgn val="ctr"/>
        <c:lblOffset val="100"/>
        <c:noMultiLvlLbl val="0"/>
      </c:catAx>
      <c:valAx>
        <c:axId val="121843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218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2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325405268423513"/>
          <c:y val="0.30716902458202539"/>
          <c:w val="0.58122658867069843"/>
          <c:h val="0.56394118345125044"/>
        </c:manualLayout>
      </c:layout>
      <c:pieChart>
        <c:varyColors val="1"/>
        <c:ser>
          <c:idx val="0"/>
          <c:order val="0"/>
          <c:tx>
            <c:strRef>
              <c:f>'Pivot Report'!$B$72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177-432B-81CF-20A68B8B2EA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77-432B-81CF-20A68B8B2E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Delay</c:v>
                </c:pt>
                <c:pt idx="1">
                  <c:v>Ontime</c:v>
                </c:pt>
              </c:strCache>
            </c:strRef>
          </c:cat>
          <c:val>
            <c:numRef>
              <c:f>'Pivot Report'!$B$73:$B$75</c:f>
              <c:numCache>
                <c:formatCode>0</c:formatCode>
                <c:ptCount val="2"/>
                <c:pt idx="0">
                  <c:v>316</c:v>
                </c:pt>
                <c:pt idx="1">
                  <c:v>197</c:v>
                </c:pt>
              </c:numCache>
            </c:numRef>
          </c:val>
          <c:extLst>
            <c:ext xmlns:c16="http://schemas.microsoft.com/office/drawing/2014/chart" uri="{C3380CC4-5D6E-409C-BE32-E72D297353CC}">
              <c16:uniqueId val="{00000004-4177-432B-81CF-20A68B8B2EA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8211882594245846E-2"/>
          <c:y val="3.6474763575266168E-2"/>
          <c:w val="0.89708826197634961"/>
          <c:h val="0.2114363234790656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3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067889046948857"/>
          <c:y val="0.32305631482117103"/>
          <c:w val="0.52269712185974981"/>
          <c:h val="0.51889506601226465"/>
        </c:manualLayout>
      </c:layout>
      <c:pieChart>
        <c:varyColors val="1"/>
        <c:ser>
          <c:idx val="0"/>
          <c:order val="0"/>
          <c:tx>
            <c:strRef>
              <c:f>'Pivot Report'!$B$83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BC7-4653-9CA8-41CEDF6509A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BC7-4653-9CA8-41CEDF6509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Report'!$A$84:$A$86</c:f>
              <c:strCache>
                <c:ptCount val="2"/>
                <c:pt idx="0">
                  <c:v>Female</c:v>
                </c:pt>
                <c:pt idx="1">
                  <c:v>Male</c:v>
                </c:pt>
              </c:strCache>
            </c:strRef>
          </c:cat>
          <c:val>
            <c:numRef>
              <c:f>'Pivot Report'!$B$84:$B$86</c:f>
              <c:numCache>
                <c:formatCode>0.00</c:formatCode>
                <c:ptCount val="2"/>
                <c:pt idx="0">
                  <c:v>241</c:v>
                </c:pt>
                <c:pt idx="1">
                  <c:v>272</c:v>
                </c:pt>
              </c:numCache>
            </c:numRef>
          </c:val>
          <c:extLst>
            <c:ext xmlns:c16="http://schemas.microsoft.com/office/drawing/2014/chart" uri="{C3380CC4-5D6E-409C-BE32-E72D297353CC}">
              <c16:uniqueId val="{00000004-9BC7-4653-9CA8-41CEDF6509A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6504682771958725E-2"/>
          <c:y val="3.8667733535333197E-2"/>
          <c:w val="0.87321477994378816"/>
          <c:h val="0.2437578799568020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Report!PivotTable12</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Report'!$A$90:$A$98</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Report'!$B$90:$B$98</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398E-498A-8768-5E2A4349689A}"/>
            </c:ext>
          </c:extLst>
        </c:ser>
        <c:dLbls>
          <c:showLegendKey val="0"/>
          <c:showVal val="0"/>
          <c:showCatName val="0"/>
          <c:showSerName val="0"/>
          <c:showPercent val="0"/>
          <c:showBubbleSize val="0"/>
        </c:dLbls>
        <c:gapWidth val="182"/>
        <c:axId val="919296975"/>
        <c:axId val="919296495"/>
      </c:barChart>
      <c:catAx>
        <c:axId val="91929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296495"/>
        <c:crosses val="autoZero"/>
        <c:auto val="1"/>
        <c:lblAlgn val="ctr"/>
        <c:lblOffset val="100"/>
        <c:noMultiLvlLbl val="0"/>
      </c:catAx>
      <c:valAx>
        <c:axId val="919296495"/>
        <c:scaling>
          <c:orientation val="minMax"/>
        </c:scaling>
        <c:delete val="1"/>
        <c:axPos val="b"/>
        <c:numFmt formatCode="0" sourceLinked="1"/>
        <c:majorTickMark val="none"/>
        <c:minorTickMark val="none"/>
        <c:tickLblPos val="nextTo"/>
        <c:crossAx val="91929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78130600432765E-2"/>
          <c:y val="7.3529553669819489E-2"/>
          <c:w val="0.89884373879913448"/>
          <c:h val="0.82843104143708779"/>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B087-47AC-AF3F-F101E106DEF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0171184"/>
        <c:axId val="1930170224"/>
      </c:areaChart>
      <c:catAx>
        <c:axId val="19301711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0170224"/>
        <c:crosses val="autoZero"/>
        <c:auto val="1"/>
        <c:lblAlgn val="ctr"/>
        <c:lblOffset val="100"/>
        <c:noMultiLvlLbl val="0"/>
      </c:catAx>
      <c:valAx>
        <c:axId val="1930170224"/>
        <c:scaling>
          <c:orientation val="minMax"/>
        </c:scaling>
        <c:delete val="1"/>
        <c:axPos val="l"/>
        <c:numFmt formatCode="General" sourceLinked="1"/>
        <c:majorTickMark val="out"/>
        <c:minorTickMark val="none"/>
        <c:tickLblPos val="nextTo"/>
        <c:crossAx val="1930171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1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1D78-43E3-A84B-08313E42927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34612752"/>
        <c:axId val="1234611312"/>
      </c:areaChart>
      <c:catAx>
        <c:axId val="12346127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34611312"/>
        <c:crosses val="autoZero"/>
        <c:auto val="1"/>
        <c:lblAlgn val="ctr"/>
        <c:lblOffset val="100"/>
        <c:noMultiLvlLbl val="0"/>
      </c:catAx>
      <c:valAx>
        <c:axId val="1234611312"/>
        <c:scaling>
          <c:orientation val="minMax"/>
        </c:scaling>
        <c:delete val="1"/>
        <c:axPos val="l"/>
        <c:numFmt formatCode="General" sourceLinked="1"/>
        <c:majorTickMark val="out"/>
        <c:minorTickMark val="none"/>
        <c:tickLblPos val="nextTo"/>
        <c:crossAx val="1234612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78130600432765E-2"/>
          <c:y val="7.3529553669819489E-2"/>
          <c:w val="0.89884373879913448"/>
          <c:h val="0.82843104143708779"/>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8B9-4200-A984-DE1406E939A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0171184"/>
        <c:axId val="1930170224"/>
      </c:areaChart>
      <c:catAx>
        <c:axId val="19301711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0170224"/>
        <c:crosses val="autoZero"/>
        <c:auto val="1"/>
        <c:lblAlgn val="ctr"/>
        <c:lblOffset val="100"/>
        <c:noMultiLvlLbl val="0"/>
      </c:catAx>
      <c:valAx>
        <c:axId val="1930170224"/>
        <c:scaling>
          <c:orientation val="minMax"/>
        </c:scaling>
        <c:delete val="1"/>
        <c:axPos val="l"/>
        <c:numFmt formatCode="General" sourceLinked="1"/>
        <c:majorTickMark val="out"/>
        <c:minorTickMark val="none"/>
        <c:tickLblPos val="nextTo"/>
        <c:crossAx val="1930171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emf"/><Relationship Id="rId3" Type="http://schemas.openxmlformats.org/officeDocument/2006/relationships/image" Target="../media/image3.svg"/><Relationship Id="rId7" Type="http://schemas.openxmlformats.org/officeDocument/2006/relationships/hyperlink" Target="#'Daily ER No of Petient'!A1"/><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Satisfaction Score Daily Trend'!A1"/><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hyperlink" Target="#'Average Waittime daily trend'!A1"/><Relationship Id="rId1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3</xdr:col>
      <xdr:colOff>20485</xdr:colOff>
      <xdr:row>44</xdr:row>
      <xdr:rowOff>11717</xdr:rowOff>
    </xdr:from>
    <xdr:to>
      <xdr:col>3</xdr:col>
      <xdr:colOff>1282291</xdr:colOff>
      <xdr:row>46</xdr:row>
      <xdr:rowOff>16387</xdr:rowOff>
    </xdr:to>
    <xdr:graphicFrame macro="">
      <xdr:nvGraphicFramePr>
        <xdr:cNvPr id="2" name="Chart 1">
          <a:extLst>
            <a:ext uri="{FF2B5EF4-FFF2-40B4-BE49-F238E27FC236}">
              <a16:creationId xmlns:a16="http://schemas.microsoft.com/office/drawing/2014/main" id="{8CDA5AD6-97C8-0B92-9091-7177F5FC4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107759</xdr:colOff>
      <xdr:row>0</xdr:row>
      <xdr:rowOff>69273</xdr:rowOff>
    </xdr:from>
    <xdr:to>
      <xdr:col>5</xdr:col>
      <xdr:colOff>283029</xdr:colOff>
      <xdr:row>3</xdr:row>
      <xdr:rowOff>7471</xdr:rowOff>
    </xdr:to>
    <xdr:sp macro="" textlink="">
      <xdr:nvSpPr>
        <xdr:cNvPr id="2" name="Rectangle: Rounded Corners 1">
          <a:extLst>
            <a:ext uri="{FF2B5EF4-FFF2-40B4-BE49-F238E27FC236}">
              <a16:creationId xmlns:a16="http://schemas.microsoft.com/office/drawing/2014/main" id="{B8E652B1-C39D-BD6B-5167-2D6EF4A48D2F}"/>
            </a:ext>
          </a:extLst>
        </xdr:cNvPr>
        <xdr:cNvSpPr/>
      </xdr:nvSpPr>
      <xdr:spPr>
        <a:xfrm>
          <a:off x="107759" y="69273"/>
          <a:ext cx="3223270" cy="48683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324858</xdr:colOff>
      <xdr:row>0</xdr:row>
      <xdr:rowOff>62262</xdr:rowOff>
    </xdr:from>
    <xdr:to>
      <xdr:col>6</xdr:col>
      <xdr:colOff>513805</xdr:colOff>
      <xdr:row>3</xdr:row>
      <xdr:rowOff>0</xdr:rowOff>
    </xdr:to>
    <xdr:sp macro="" textlink="">
      <xdr:nvSpPr>
        <xdr:cNvPr id="3" name="Rectangle: Rounded Corners 2">
          <a:extLst>
            <a:ext uri="{FF2B5EF4-FFF2-40B4-BE49-F238E27FC236}">
              <a16:creationId xmlns:a16="http://schemas.microsoft.com/office/drawing/2014/main" id="{19DA78DE-08E0-1902-4A6B-C4A1E885F3F6}"/>
            </a:ext>
          </a:extLst>
        </xdr:cNvPr>
        <xdr:cNvSpPr/>
      </xdr:nvSpPr>
      <xdr:spPr>
        <a:xfrm>
          <a:off x="3372858" y="62262"/>
          <a:ext cx="798547" cy="48637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87406</xdr:colOff>
      <xdr:row>0</xdr:row>
      <xdr:rowOff>43543</xdr:rowOff>
    </xdr:from>
    <xdr:to>
      <xdr:col>8</xdr:col>
      <xdr:colOff>587829</xdr:colOff>
      <xdr:row>6</xdr:row>
      <xdr:rowOff>134983</xdr:rowOff>
    </xdr:to>
    <xdr:sp macro="" textlink="">
      <xdr:nvSpPr>
        <xdr:cNvPr id="4" name="Rectangle: Rounded Corners 3">
          <a:extLst>
            <a:ext uri="{FF2B5EF4-FFF2-40B4-BE49-F238E27FC236}">
              <a16:creationId xmlns:a16="http://schemas.microsoft.com/office/drawing/2014/main" id="{37E1C63A-5EF6-3E15-3C9E-BBF8B0B0581D}"/>
            </a:ext>
          </a:extLst>
        </xdr:cNvPr>
        <xdr:cNvSpPr/>
      </xdr:nvSpPr>
      <xdr:spPr>
        <a:xfrm>
          <a:off x="4354606" y="43543"/>
          <a:ext cx="1110023" cy="118872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28815</xdr:colOff>
      <xdr:row>0</xdr:row>
      <xdr:rowOff>23490</xdr:rowOff>
    </xdr:from>
    <xdr:to>
      <xdr:col>10</xdr:col>
      <xdr:colOff>557349</xdr:colOff>
      <xdr:row>6</xdr:row>
      <xdr:rowOff>134983</xdr:rowOff>
    </xdr:to>
    <xdr:sp macro="" textlink="">
      <xdr:nvSpPr>
        <xdr:cNvPr id="5" name="Rectangle: Rounded Corners 4">
          <a:extLst>
            <a:ext uri="{FF2B5EF4-FFF2-40B4-BE49-F238E27FC236}">
              <a16:creationId xmlns:a16="http://schemas.microsoft.com/office/drawing/2014/main" id="{88D8DB12-5F89-2DE3-00F8-AEC6CA0BD5CE}"/>
            </a:ext>
          </a:extLst>
        </xdr:cNvPr>
        <xdr:cNvSpPr/>
      </xdr:nvSpPr>
      <xdr:spPr>
        <a:xfrm>
          <a:off x="5515215" y="23490"/>
          <a:ext cx="1138134" cy="120877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115455</xdr:colOff>
      <xdr:row>3</xdr:row>
      <xdr:rowOff>60960</xdr:rowOff>
    </xdr:from>
    <xdr:to>
      <xdr:col>1</xdr:col>
      <xdr:colOff>209176</xdr:colOff>
      <xdr:row>15</xdr:row>
      <xdr:rowOff>108857</xdr:rowOff>
    </xdr:to>
    <xdr:sp macro="" textlink="">
      <xdr:nvSpPr>
        <xdr:cNvPr id="8" name="Rectangle: Rounded Corners 7">
          <a:extLst>
            <a:ext uri="{FF2B5EF4-FFF2-40B4-BE49-F238E27FC236}">
              <a16:creationId xmlns:a16="http://schemas.microsoft.com/office/drawing/2014/main" id="{1C55321C-C415-1745-DF8E-BD79928F7872}"/>
            </a:ext>
          </a:extLst>
        </xdr:cNvPr>
        <xdr:cNvSpPr/>
      </xdr:nvSpPr>
      <xdr:spPr>
        <a:xfrm>
          <a:off x="115455" y="609600"/>
          <a:ext cx="703321" cy="224245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257621</xdr:colOff>
      <xdr:row>3</xdr:row>
      <xdr:rowOff>60895</xdr:rowOff>
    </xdr:from>
    <xdr:to>
      <xdr:col>3</xdr:col>
      <xdr:colOff>91440</xdr:colOff>
      <xdr:row>7</xdr:row>
      <xdr:rowOff>108857</xdr:rowOff>
    </xdr:to>
    <xdr:sp macro="" textlink="">
      <xdr:nvSpPr>
        <xdr:cNvPr id="9" name="Rectangle: Rounded Corners 8">
          <a:extLst>
            <a:ext uri="{FF2B5EF4-FFF2-40B4-BE49-F238E27FC236}">
              <a16:creationId xmlns:a16="http://schemas.microsoft.com/office/drawing/2014/main" id="{4E9D654B-EAFB-4C37-BCE7-AC475DBAB9CA}"/>
            </a:ext>
          </a:extLst>
        </xdr:cNvPr>
        <xdr:cNvSpPr/>
      </xdr:nvSpPr>
      <xdr:spPr>
        <a:xfrm>
          <a:off x="867221" y="609535"/>
          <a:ext cx="1053019" cy="77948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108857</xdr:colOff>
      <xdr:row>3</xdr:row>
      <xdr:rowOff>64271</xdr:rowOff>
    </xdr:from>
    <xdr:to>
      <xdr:col>4</xdr:col>
      <xdr:colOff>596537</xdr:colOff>
      <xdr:row>7</xdr:row>
      <xdr:rowOff>104503</xdr:rowOff>
    </xdr:to>
    <xdr:sp macro="" textlink="">
      <xdr:nvSpPr>
        <xdr:cNvPr id="10" name="Rectangle: Rounded Corners 9">
          <a:extLst>
            <a:ext uri="{FF2B5EF4-FFF2-40B4-BE49-F238E27FC236}">
              <a16:creationId xmlns:a16="http://schemas.microsoft.com/office/drawing/2014/main" id="{5A0F3CA5-057D-421E-A6CE-FF5B01EC1FF2}"/>
            </a:ext>
          </a:extLst>
        </xdr:cNvPr>
        <xdr:cNvSpPr/>
      </xdr:nvSpPr>
      <xdr:spPr>
        <a:xfrm>
          <a:off x="1937657" y="612911"/>
          <a:ext cx="1097280" cy="77175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21771</xdr:colOff>
      <xdr:row>3</xdr:row>
      <xdr:rowOff>62962</xdr:rowOff>
    </xdr:from>
    <xdr:to>
      <xdr:col>6</xdr:col>
      <xdr:colOff>526869</xdr:colOff>
      <xdr:row>7</xdr:row>
      <xdr:rowOff>95794</xdr:rowOff>
    </xdr:to>
    <xdr:sp macro="" textlink="">
      <xdr:nvSpPr>
        <xdr:cNvPr id="11" name="Rectangle: Rounded Corners 10">
          <a:extLst>
            <a:ext uri="{FF2B5EF4-FFF2-40B4-BE49-F238E27FC236}">
              <a16:creationId xmlns:a16="http://schemas.microsoft.com/office/drawing/2014/main" id="{FDB84427-9D1B-4D2D-8BF2-2A6C4AF37215}"/>
            </a:ext>
          </a:extLst>
        </xdr:cNvPr>
        <xdr:cNvSpPr/>
      </xdr:nvSpPr>
      <xdr:spPr>
        <a:xfrm>
          <a:off x="3069771" y="611602"/>
          <a:ext cx="1114698" cy="76435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240598</xdr:colOff>
      <xdr:row>10</xdr:row>
      <xdr:rowOff>65314</xdr:rowOff>
    </xdr:from>
    <xdr:to>
      <xdr:col>6</xdr:col>
      <xdr:colOff>548641</xdr:colOff>
      <xdr:row>15</xdr:row>
      <xdr:rowOff>52251</xdr:rowOff>
    </xdr:to>
    <xdr:sp macro="" textlink="">
      <xdr:nvSpPr>
        <xdr:cNvPr id="13" name="Rectangle 12">
          <a:extLst>
            <a:ext uri="{FF2B5EF4-FFF2-40B4-BE49-F238E27FC236}">
              <a16:creationId xmlns:a16="http://schemas.microsoft.com/office/drawing/2014/main" id="{EC08E025-90EE-D222-3D9C-8081F921B8D8}"/>
            </a:ext>
          </a:extLst>
        </xdr:cNvPr>
        <xdr:cNvSpPr/>
      </xdr:nvSpPr>
      <xdr:spPr>
        <a:xfrm>
          <a:off x="850198" y="1894114"/>
          <a:ext cx="3356043" cy="901337"/>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246530</xdr:colOff>
      <xdr:row>7</xdr:row>
      <xdr:rowOff>169817</xdr:rowOff>
    </xdr:from>
    <xdr:to>
      <xdr:col>6</xdr:col>
      <xdr:colOff>548640</xdr:colOff>
      <xdr:row>10</xdr:row>
      <xdr:rowOff>26126</xdr:rowOff>
    </xdr:to>
    <xdr:sp macro="" textlink="">
      <xdr:nvSpPr>
        <xdr:cNvPr id="14" name="Rectangle 13">
          <a:extLst>
            <a:ext uri="{FF2B5EF4-FFF2-40B4-BE49-F238E27FC236}">
              <a16:creationId xmlns:a16="http://schemas.microsoft.com/office/drawing/2014/main" id="{17237442-451E-BAC1-1DF1-19DE813E61C4}"/>
            </a:ext>
          </a:extLst>
        </xdr:cNvPr>
        <xdr:cNvSpPr/>
      </xdr:nvSpPr>
      <xdr:spPr>
        <a:xfrm>
          <a:off x="856130" y="1449977"/>
          <a:ext cx="3350110" cy="404949"/>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115794</xdr:colOff>
      <xdr:row>0</xdr:row>
      <xdr:rowOff>82177</xdr:rowOff>
    </xdr:from>
    <xdr:to>
      <xdr:col>5</xdr:col>
      <xdr:colOff>14941</xdr:colOff>
      <xdr:row>1</xdr:row>
      <xdr:rowOff>104589</xdr:rowOff>
    </xdr:to>
    <xdr:sp macro="" textlink="">
      <xdr:nvSpPr>
        <xdr:cNvPr id="16" name="TextBox 15">
          <a:extLst>
            <a:ext uri="{FF2B5EF4-FFF2-40B4-BE49-F238E27FC236}">
              <a16:creationId xmlns:a16="http://schemas.microsoft.com/office/drawing/2014/main" id="{8466CC24-2335-5D4F-29DB-E7E83BC01FA4}"/>
            </a:ext>
          </a:extLst>
        </xdr:cNvPr>
        <xdr:cNvSpPr txBox="1"/>
      </xdr:nvSpPr>
      <xdr:spPr>
        <a:xfrm>
          <a:off x="724647" y="82177"/>
          <a:ext cx="2334559"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Hospital Emergency</a:t>
          </a:r>
          <a:r>
            <a:rPr lang="en-IN" sz="1000" baseline="0"/>
            <a:t> Room Dashboard</a:t>
          </a:r>
          <a:endParaRPr lang="en-IN" sz="1000"/>
        </a:p>
      </xdr:txBody>
    </xdr:sp>
    <xdr:clientData/>
  </xdr:twoCellAnchor>
  <xdr:twoCellAnchor>
    <xdr:from>
      <xdr:col>7</xdr:col>
      <xdr:colOff>78377</xdr:colOff>
      <xdr:row>7</xdr:row>
      <xdr:rowOff>34835</xdr:rowOff>
    </xdr:from>
    <xdr:to>
      <xdr:col>11</xdr:col>
      <xdr:colOff>117566</xdr:colOff>
      <xdr:row>15</xdr:row>
      <xdr:rowOff>82731</xdr:rowOff>
    </xdr:to>
    <xdr:sp macro="" textlink="">
      <xdr:nvSpPr>
        <xdr:cNvPr id="17" name="Rectangle 16">
          <a:extLst>
            <a:ext uri="{FF2B5EF4-FFF2-40B4-BE49-F238E27FC236}">
              <a16:creationId xmlns:a16="http://schemas.microsoft.com/office/drawing/2014/main" id="{C4948503-24FF-4DCF-99A3-FE37E51EB982}"/>
            </a:ext>
          </a:extLst>
        </xdr:cNvPr>
        <xdr:cNvSpPr/>
      </xdr:nvSpPr>
      <xdr:spPr>
        <a:xfrm>
          <a:off x="4345577" y="1314995"/>
          <a:ext cx="2477589" cy="151093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257171</xdr:colOff>
      <xdr:row>0</xdr:row>
      <xdr:rowOff>87949</xdr:rowOff>
    </xdr:from>
    <xdr:to>
      <xdr:col>1</xdr:col>
      <xdr:colOff>216647</xdr:colOff>
      <xdr:row>2</xdr:row>
      <xdr:rowOff>175426</xdr:rowOff>
    </xdr:to>
    <xdr:pic>
      <xdr:nvPicPr>
        <xdr:cNvPr id="6" name="Picture 5" descr="A blue hospital building with a cross&#10;&#10;AI-generated content may be incorrect.">
          <a:extLst>
            <a:ext uri="{FF2B5EF4-FFF2-40B4-BE49-F238E27FC236}">
              <a16:creationId xmlns:a16="http://schemas.microsoft.com/office/drawing/2014/main" id="{B1A60AE5-0880-45FC-86DF-D00FD0D4065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257171" y="87949"/>
          <a:ext cx="568329" cy="453536"/>
        </a:xfrm>
        <a:prstGeom prst="rect">
          <a:avLst/>
        </a:prstGeom>
      </xdr:spPr>
    </xdr:pic>
    <xdr:clientData/>
  </xdr:twoCellAnchor>
  <xdr:twoCellAnchor>
    <xdr:from>
      <xdr:col>1</xdr:col>
      <xdr:colOff>474382</xdr:colOff>
      <xdr:row>1</xdr:row>
      <xdr:rowOff>115796</xdr:rowOff>
    </xdr:from>
    <xdr:to>
      <xdr:col>4</xdr:col>
      <xdr:colOff>190500</xdr:colOff>
      <xdr:row>2</xdr:row>
      <xdr:rowOff>41088</xdr:rowOff>
    </xdr:to>
    <xdr:sp macro="" textlink="">
      <xdr:nvSpPr>
        <xdr:cNvPr id="7" name="TextBox 6">
          <a:extLst>
            <a:ext uri="{FF2B5EF4-FFF2-40B4-BE49-F238E27FC236}">
              <a16:creationId xmlns:a16="http://schemas.microsoft.com/office/drawing/2014/main" id="{56150AFE-38BC-48E7-AE62-DA65087126FA}"/>
            </a:ext>
          </a:extLst>
        </xdr:cNvPr>
        <xdr:cNvSpPr txBox="1"/>
      </xdr:nvSpPr>
      <xdr:spPr>
        <a:xfrm>
          <a:off x="1083235" y="298825"/>
          <a:ext cx="1542677" cy="108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Monthly Report</a:t>
          </a:r>
        </a:p>
      </xdr:txBody>
    </xdr:sp>
    <xdr:clientData/>
  </xdr:twoCellAnchor>
  <xdr:twoCellAnchor>
    <xdr:from>
      <xdr:col>1</xdr:col>
      <xdr:colOff>319334</xdr:colOff>
      <xdr:row>4</xdr:row>
      <xdr:rowOff>137372</xdr:rowOff>
    </xdr:from>
    <xdr:to>
      <xdr:col>3</xdr:col>
      <xdr:colOff>27234</xdr:colOff>
      <xdr:row>5</xdr:row>
      <xdr:rowOff>84098</xdr:rowOff>
    </xdr:to>
    <xdr:sp macro="" textlink="">
      <xdr:nvSpPr>
        <xdr:cNvPr id="12" name="TextBox 11">
          <a:extLst>
            <a:ext uri="{FF2B5EF4-FFF2-40B4-BE49-F238E27FC236}">
              <a16:creationId xmlns:a16="http://schemas.microsoft.com/office/drawing/2014/main" id="{27DEEEEE-2B4B-470D-BBAB-03C81E997323}"/>
            </a:ext>
          </a:extLst>
        </xdr:cNvPr>
        <xdr:cNvSpPr txBox="1"/>
      </xdr:nvSpPr>
      <xdr:spPr>
        <a:xfrm>
          <a:off x="928934" y="868892"/>
          <a:ext cx="927100" cy="12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No.</a:t>
          </a:r>
          <a:r>
            <a:rPr lang="en-IN" sz="800" baseline="0"/>
            <a:t> of Patient</a:t>
          </a:r>
          <a:endParaRPr lang="en-IN" sz="800"/>
        </a:p>
      </xdr:txBody>
    </xdr:sp>
    <xdr:clientData/>
  </xdr:twoCellAnchor>
  <xdr:twoCellAnchor>
    <xdr:from>
      <xdr:col>1</xdr:col>
      <xdr:colOff>306271</xdr:colOff>
      <xdr:row>3</xdr:row>
      <xdr:rowOff>158546</xdr:rowOff>
    </xdr:from>
    <xdr:to>
      <xdr:col>3</xdr:col>
      <xdr:colOff>14171</xdr:colOff>
      <xdr:row>4</xdr:row>
      <xdr:rowOff>105272</xdr:rowOff>
    </xdr:to>
    <xdr:sp macro="" textlink="'Pivot Report'!A5">
      <xdr:nvSpPr>
        <xdr:cNvPr id="20" name="TextBox 19">
          <a:extLst>
            <a:ext uri="{FF2B5EF4-FFF2-40B4-BE49-F238E27FC236}">
              <a16:creationId xmlns:a16="http://schemas.microsoft.com/office/drawing/2014/main" id="{1F54821D-940A-71BC-5820-BA3F30A7BEC7}"/>
            </a:ext>
          </a:extLst>
        </xdr:cNvPr>
        <xdr:cNvSpPr txBox="1"/>
      </xdr:nvSpPr>
      <xdr:spPr>
        <a:xfrm>
          <a:off x="915871" y="707186"/>
          <a:ext cx="927100" cy="12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0D4453-7E73-4F16-9E5C-CB3F19F4E91D}" type="TxLink">
            <a:rPr lang="en-US" sz="1100" b="0" i="0" u="none" strike="noStrike">
              <a:solidFill>
                <a:srgbClr val="000000"/>
              </a:solidFill>
              <a:latin typeface="Calibri"/>
              <a:ea typeface="Calibri"/>
              <a:cs typeface="Calibri"/>
            </a:rPr>
            <a:pPr algn="ctr"/>
            <a:t>513</a:t>
          </a:fld>
          <a:endParaRPr lang="en-IN" sz="800"/>
        </a:p>
      </xdr:txBody>
    </xdr:sp>
    <xdr:clientData/>
  </xdr:twoCellAnchor>
  <xdr:twoCellAnchor>
    <xdr:from>
      <xdr:col>3</xdr:col>
      <xdr:colOff>146252</xdr:colOff>
      <xdr:row>4</xdr:row>
      <xdr:rowOff>168492</xdr:rowOff>
    </xdr:from>
    <xdr:to>
      <xdr:col>4</xdr:col>
      <xdr:colOff>542192</xdr:colOff>
      <xdr:row>5</xdr:row>
      <xdr:rowOff>115218</xdr:rowOff>
    </xdr:to>
    <xdr:sp macro="" textlink="">
      <xdr:nvSpPr>
        <xdr:cNvPr id="27" name="TextBox 26">
          <a:extLst>
            <a:ext uri="{FF2B5EF4-FFF2-40B4-BE49-F238E27FC236}">
              <a16:creationId xmlns:a16="http://schemas.microsoft.com/office/drawing/2014/main" id="{C4F965E5-6949-A13A-036D-C2AE6419577C}"/>
            </a:ext>
          </a:extLst>
        </xdr:cNvPr>
        <xdr:cNvSpPr txBox="1"/>
      </xdr:nvSpPr>
      <xdr:spPr>
        <a:xfrm>
          <a:off x="1975052" y="900012"/>
          <a:ext cx="1005540" cy="12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Average Wait Time</a:t>
          </a:r>
        </a:p>
      </xdr:txBody>
    </xdr:sp>
    <xdr:clientData/>
  </xdr:twoCellAnchor>
  <xdr:twoCellAnchor>
    <xdr:from>
      <xdr:col>3</xdr:col>
      <xdr:colOff>365355</xdr:colOff>
      <xdr:row>3</xdr:row>
      <xdr:rowOff>182814</xdr:rowOff>
    </xdr:from>
    <xdr:to>
      <xdr:col>4</xdr:col>
      <xdr:colOff>320531</xdr:colOff>
      <xdr:row>4</xdr:row>
      <xdr:rowOff>129391</xdr:rowOff>
    </xdr:to>
    <xdr:sp macro="" textlink="'Pivot Report'!A10">
      <xdr:nvSpPr>
        <xdr:cNvPr id="28" name="TextBox 27">
          <a:extLst>
            <a:ext uri="{FF2B5EF4-FFF2-40B4-BE49-F238E27FC236}">
              <a16:creationId xmlns:a16="http://schemas.microsoft.com/office/drawing/2014/main" id="{5DD56E66-9E42-4324-1E7E-8949687F919B}"/>
            </a:ext>
          </a:extLst>
        </xdr:cNvPr>
        <xdr:cNvSpPr txBox="1"/>
      </xdr:nvSpPr>
      <xdr:spPr>
        <a:xfrm>
          <a:off x="2194155" y="731454"/>
          <a:ext cx="564776" cy="129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EE098A-D2A0-4B06-BADC-88332C3C6BF3}" type="TxLink">
            <a:rPr lang="en-US" sz="1100" b="0" i="0" u="none" strike="noStrike">
              <a:solidFill>
                <a:srgbClr val="000000"/>
              </a:solidFill>
              <a:latin typeface="Calibri"/>
              <a:ea typeface="Calibri"/>
              <a:cs typeface="Calibri"/>
            </a:rPr>
            <a:pPr algn="ctr"/>
            <a:t>36.32</a:t>
          </a:fld>
          <a:endParaRPr lang="en-IN" sz="800"/>
        </a:p>
      </xdr:txBody>
    </xdr:sp>
    <xdr:clientData/>
  </xdr:twoCellAnchor>
  <xdr:twoCellAnchor>
    <xdr:from>
      <xdr:col>5</xdr:col>
      <xdr:colOff>30479</xdr:colOff>
      <xdr:row>4</xdr:row>
      <xdr:rowOff>90223</xdr:rowOff>
    </xdr:from>
    <xdr:to>
      <xdr:col>6</xdr:col>
      <xdr:colOff>509450</xdr:colOff>
      <xdr:row>6</xdr:row>
      <xdr:rowOff>26127</xdr:rowOff>
    </xdr:to>
    <xdr:sp macro="" textlink="">
      <xdr:nvSpPr>
        <xdr:cNvPr id="29" name="TextBox 28">
          <a:extLst>
            <a:ext uri="{FF2B5EF4-FFF2-40B4-BE49-F238E27FC236}">
              <a16:creationId xmlns:a16="http://schemas.microsoft.com/office/drawing/2014/main" id="{E9B774B8-9C0E-1578-2B40-BBCD89755D8C}"/>
            </a:ext>
          </a:extLst>
        </xdr:cNvPr>
        <xdr:cNvSpPr txBox="1"/>
      </xdr:nvSpPr>
      <xdr:spPr>
        <a:xfrm>
          <a:off x="3078479" y="821743"/>
          <a:ext cx="1088571" cy="30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36000" rIns="0" bIns="36000" rtlCol="0" anchor="ctr"/>
        <a:lstStyle/>
        <a:p>
          <a:pPr algn="ctr"/>
          <a:r>
            <a:rPr lang="en-IN" sz="800">
              <a:solidFill>
                <a:schemeClr val="dk1"/>
              </a:solidFill>
            </a:rPr>
            <a:t>Patient Satisfaction Score</a:t>
          </a:r>
        </a:p>
      </xdr:txBody>
    </xdr:sp>
    <xdr:clientData/>
  </xdr:twoCellAnchor>
  <xdr:twoCellAnchor>
    <xdr:from>
      <xdr:col>4</xdr:col>
      <xdr:colOff>547252</xdr:colOff>
      <xdr:row>3</xdr:row>
      <xdr:rowOff>180317</xdr:rowOff>
    </xdr:from>
    <xdr:to>
      <xdr:col>6</xdr:col>
      <xdr:colOff>255899</xdr:colOff>
      <xdr:row>4</xdr:row>
      <xdr:rowOff>127043</xdr:rowOff>
    </xdr:to>
    <xdr:sp macro="" textlink="'Pivot Report'!A14">
      <xdr:nvSpPr>
        <xdr:cNvPr id="30" name="TextBox 29">
          <a:extLst>
            <a:ext uri="{FF2B5EF4-FFF2-40B4-BE49-F238E27FC236}">
              <a16:creationId xmlns:a16="http://schemas.microsoft.com/office/drawing/2014/main" id="{4B84A730-CEE8-BC87-5669-B962924078C8}"/>
            </a:ext>
          </a:extLst>
        </xdr:cNvPr>
        <xdr:cNvSpPr txBox="1"/>
      </xdr:nvSpPr>
      <xdr:spPr>
        <a:xfrm>
          <a:off x="2985652" y="728957"/>
          <a:ext cx="927847" cy="12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D1D98F-3580-415D-80C9-EE2FA68538DC}" type="TxLink">
            <a:rPr lang="en-US" sz="1100" b="0" i="0" u="none" strike="noStrike">
              <a:solidFill>
                <a:srgbClr val="000000"/>
              </a:solidFill>
              <a:latin typeface="Calibri"/>
              <a:ea typeface="Calibri"/>
              <a:cs typeface="Calibri"/>
            </a:rPr>
            <a:pPr algn="ctr"/>
            <a:t>4.96</a:t>
          </a:fld>
          <a:endParaRPr lang="en-IN" sz="800"/>
        </a:p>
      </xdr:txBody>
    </xdr:sp>
    <xdr:clientData/>
  </xdr:twoCellAnchor>
  <xdr:twoCellAnchor editAs="oneCell">
    <xdr:from>
      <xdr:col>2</xdr:col>
      <xdr:colOff>400593</xdr:colOff>
      <xdr:row>3</xdr:row>
      <xdr:rowOff>104589</xdr:rowOff>
    </xdr:from>
    <xdr:to>
      <xdr:col>2</xdr:col>
      <xdr:colOff>578970</xdr:colOff>
      <xdr:row>4</xdr:row>
      <xdr:rowOff>99965</xdr:rowOff>
    </xdr:to>
    <xdr:pic>
      <xdr:nvPicPr>
        <xdr:cNvPr id="32" name="Graphic 31" descr="Male profile with solid fill">
          <a:extLst>
            <a:ext uri="{FF2B5EF4-FFF2-40B4-BE49-F238E27FC236}">
              <a16:creationId xmlns:a16="http://schemas.microsoft.com/office/drawing/2014/main" id="{09FCD853-68BF-AFE1-160B-9C65E3EA9FD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19793" y="653229"/>
          <a:ext cx="178377" cy="178256"/>
        </a:xfrm>
        <a:prstGeom prst="rect">
          <a:avLst/>
        </a:prstGeom>
      </xdr:spPr>
    </xdr:pic>
    <xdr:clientData/>
  </xdr:twoCellAnchor>
  <xdr:twoCellAnchor editAs="oneCell">
    <xdr:from>
      <xdr:col>4</xdr:col>
      <xdr:colOff>328000</xdr:colOff>
      <xdr:row>3</xdr:row>
      <xdr:rowOff>113296</xdr:rowOff>
    </xdr:from>
    <xdr:to>
      <xdr:col>4</xdr:col>
      <xdr:colOff>511030</xdr:colOff>
      <xdr:row>4</xdr:row>
      <xdr:rowOff>113296</xdr:rowOff>
    </xdr:to>
    <xdr:pic>
      <xdr:nvPicPr>
        <xdr:cNvPr id="34" name="Graphic 33" descr="Hourglass Finished with solid fill">
          <a:extLst>
            <a:ext uri="{FF2B5EF4-FFF2-40B4-BE49-F238E27FC236}">
              <a16:creationId xmlns:a16="http://schemas.microsoft.com/office/drawing/2014/main" id="{6D314145-9787-B41C-D3F6-B5AAB3406EF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66400" y="661936"/>
          <a:ext cx="183030" cy="182880"/>
        </a:xfrm>
        <a:prstGeom prst="rect">
          <a:avLst/>
        </a:prstGeom>
      </xdr:spPr>
    </xdr:pic>
    <xdr:clientData/>
  </xdr:twoCellAnchor>
  <xdr:twoCellAnchor editAs="oneCell">
    <xdr:from>
      <xdr:col>6</xdr:col>
      <xdr:colOff>156756</xdr:colOff>
      <xdr:row>3</xdr:row>
      <xdr:rowOff>113917</xdr:rowOff>
    </xdr:from>
    <xdr:to>
      <xdr:col>6</xdr:col>
      <xdr:colOff>407019</xdr:colOff>
      <xdr:row>4</xdr:row>
      <xdr:rowOff>181150</xdr:rowOff>
    </xdr:to>
    <xdr:pic>
      <xdr:nvPicPr>
        <xdr:cNvPr id="35" name="Picture 34">
          <a:extLst>
            <a:ext uri="{FF2B5EF4-FFF2-40B4-BE49-F238E27FC236}">
              <a16:creationId xmlns:a16="http://schemas.microsoft.com/office/drawing/2014/main" id="{0C035B8E-82F5-2B8B-700C-560665A1CEC4}"/>
            </a:ext>
          </a:extLst>
        </xdr:cNvPr>
        <xdr:cNvPicPr>
          <a:picLocks noChangeAspect="1"/>
        </xdr:cNvPicPr>
      </xdr:nvPicPr>
      <xdr:blipFill>
        <a:blip xmlns:r="http://schemas.openxmlformats.org/officeDocument/2006/relationships" r:embed="rId6"/>
        <a:stretch>
          <a:fillRect/>
        </a:stretch>
      </xdr:blipFill>
      <xdr:spPr>
        <a:xfrm>
          <a:off x="3814356" y="662557"/>
          <a:ext cx="250263" cy="250113"/>
        </a:xfrm>
        <a:prstGeom prst="rect">
          <a:avLst/>
        </a:prstGeom>
      </xdr:spPr>
    </xdr:pic>
    <xdr:clientData/>
  </xdr:twoCellAnchor>
  <xdr:twoCellAnchor editAs="oneCell">
    <xdr:from>
      <xdr:col>0</xdr:col>
      <xdr:colOff>117566</xdr:colOff>
      <xdr:row>3</xdr:row>
      <xdr:rowOff>56605</xdr:rowOff>
    </xdr:from>
    <xdr:to>
      <xdr:col>1</xdr:col>
      <xdr:colOff>204652</xdr:colOff>
      <xdr:row>15</xdr:row>
      <xdr:rowOff>130628</xdr:rowOff>
    </xdr:to>
    <mc:AlternateContent xmlns:mc="http://schemas.openxmlformats.org/markup-compatibility/2006" xmlns:a14="http://schemas.microsoft.com/office/drawing/2010/main">
      <mc:Choice Requires="a14">
        <xdr:graphicFrame macro="">
          <xdr:nvGraphicFramePr>
            <xdr:cNvPr id="36" name="Date (Month)">
              <a:extLst>
                <a:ext uri="{FF2B5EF4-FFF2-40B4-BE49-F238E27FC236}">
                  <a16:creationId xmlns:a16="http://schemas.microsoft.com/office/drawing/2014/main" id="{39168658-F29A-46AF-BDFC-7AB08C214E3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7566" y="605245"/>
              <a:ext cx="696686" cy="2268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330924</xdr:colOff>
      <xdr:row>5</xdr:row>
      <xdr:rowOff>78377</xdr:rowOff>
    </xdr:from>
    <xdr:to>
      <xdr:col>3</xdr:col>
      <xdr:colOff>17416</xdr:colOff>
      <xdr:row>7</xdr:row>
      <xdr:rowOff>69669</xdr:rowOff>
    </xdr:to>
    <xdr:graphicFrame macro="">
      <xdr:nvGraphicFramePr>
        <xdr:cNvPr id="38" name="Chart 37">
          <a:hlinkClick xmlns:r="http://schemas.openxmlformats.org/officeDocument/2006/relationships" r:id="rId7"/>
          <a:extLst>
            <a:ext uri="{FF2B5EF4-FFF2-40B4-BE49-F238E27FC236}">
              <a16:creationId xmlns:a16="http://schemas.microsoft.com/office/drawing/2014/main" id="{CE860408-C969-488B-986F-C00B9BDA2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248193</xdr:colOff>
      <xdr:row>5</xdr:row>
      <xdr:rowOff>143691</xdr:rowOff>
    </xdr:from>
    <xdr:to>
      <xdr:col>4</xdr:col>
      <xdr:colOff>457200</xdr:colOff>
      <xdr:row>7</xdr:row>
      <xdr:rowOff>0</xdr:rowOff>
    </xdr:to>
    <xdr:graphicFrame macro="">
      <xdr:nvGraphicFramePr>
        <xdr:cNvPr id="39" name="Chart 38">
          <a:hlinkClick xmlns:r="http://schemas.openxmlformats.org/officeDocument/2006/relationships" r:id="rId9"/>
          <a:extLst>
            <a:ext uri="{FF2B5EF4-FFF2-40B4-BE49-F238E27FC236}">
              <a16:creationId xmlns:a16="http://schemas.microsoft.com/office/drawing/2014/main" id="{D13A8099-5F76-4DC4-A254-061CA515B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91440</xdr:colOff>
      <xdr:row>5</xdr:row>
      <xdr:rowOff>156754</xdr:rowOff>
    </xdr:from>
    <xdr:to>
      <xdr:col>6</xdr:col>
      <xdr:colOff>339634</xdr:colOff>
      <xdr:row>6</xdr:row>
      <xdr:rowOff>156753</xdr:rowOff>
    </xdr:to>
    <xdr:graphicFrame macro="">
      <xdr:nvGraphicFramePr>
        <xdr:cNvPr id="40" name="Chart 39">
          <a:hlinkClick xmlns:r="http://schemas.openxmlformats.org/officeDocument/2006/relationships" r:id="rId11"/>
          <a:extLst>
            <a:ext uri="{FF2B5EF4-FFF2-40B4-BE49-F238E27FC236}">
              <a16:creationId xmlns:a16="http://schemas.microsoft.com/office/drawing/2014/main" id="{7699CF0E-CFFB-4A8E-BC8B-0C77579F7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261255</xdr:colOff>
          <xdr:row>7</xdr:row>
          <xdr:rowOff>174171</xdr:rowOff>
        </xdr:from>
        <xdr:to>
          <xdr:col>7</xdr:col>
          <xdr:colOff>21770</xdr:colOff>
          <xdr:row>10</xdr:row>
          <xdr:rowOff>8709</xdr:rowOff>
        </xdr:to>
        <xdr:pic>
          <xdr:nvPicPr>
            <xdr:cNvPr id="23" name="Picture 22">
              <a:extLst>
                <a:ext uri="{FF2B5EF4-FFF2-40B4-BE49-F238E27FC236}">
                  <a16:creationId xmlns:a16="http://schemas.microsoft.com/office/drawing/2014/main" id="{8A7A9A29-923F-7DB7-0373-AA47DA3B11CC}"/>
                </a:ext>
              </a:extLst>
            </xdr:cNvPr>
            <xdr:cNvPicPr>
              <a:picLocks noChangeAspect="1" noChangeArrowheads="1"/>
              <a:extLst>
                <a:ext uri="{84589F7E-364E-4C9E-8A38-B11213B215E9}">
                  <a14:cameraTool cellRange="'Pivot Report'!$A$44:$D$46" spid="_x0000_s2068"/>
                </a:ext>
              </a:extLst>
            </xdr:cNvPicPr>
          </xdr:nvPicPr>
          <xdr:blipFill>
            <a:blip xmlns:r="http://schemas.openxmlformats.org/officeDocument/2006/relationships" r:embed="rId13"/>
            <a:srcRect/>
            <a:stretch>
              <a:fillRect/>
            </a:stretch>
          </xdr:blipFill>
          <xdr:spPr bwMode="auto">
            <a:xfrm>
              <a:off x="870855" y="1454331"/>
              <a:ext cx="3418115" cy="38317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243839</xdr:colOff>
      <xdr:row>10</xdr:row>
      <xdr:rowOff>65314</xdr:rowOff>
    </xdr:from>
    <xdr:to>
      <xdr:col>7</xdr:col>
      <xdr:colOff>8708</xdr:colOff>
      <xdr:row>15</xdr:row>
      <xdr:rowOff>43542</xdr:rowOff>
    </xdr:to>
    <xdr:graphicFrame macro="">
      <xdr:nvGraphicFramePr>
        <xdr:cNvPr id="24" name="Chart 23">
          <a:extLst>
            <a:ext uri="{FF2B5EF4-FFF2-40B4-BE49-F238E27FC236}">
              <a16:creationId xmlns:a16="http://schemas.microsoft.com/office/drawing/2014/main" id="{CA8AA15B-C88F-4129-A15F-E390FE8BE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65314</xdr:colOff>
      <xdr:row>0</xdr:row>
      <xdr:rowOff>43543</xdr:rowOff>
    </xdr:from>
    <xdr:to>
      <xdr:col>8</xdr:col>
      <xdr:colOff>592183</xdr:colOff>
      <xdr:row>6</xdr:row>
      <xdr:rowOff>117566</xdr:rowOff>
    </xdr:to>
    <xdr:graphicFrame macro="">
      <xdr:nvGraphicFramePr>
        <xdr:cNvPr id="25" name="Chart 24">
          <a:extLst>
            <a:ext uri="{FF2B5EF4-FFF2-40B4-BE49-F238E27FC236}">
              <a16:creationId xmlns:a16="http://schemas.microsoft.com/office/drawing/2014/main" id="{84DDC4BD-0699-47EE-8F86-2FE1C2D32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43543</xdr:colOff>
      <xdr:row>0</xdr:row>
      <xdr:rowOff>30480</xdr:rowOff>
    </xdr:from>
    <xdr:to>
      <xdr:col>11</xdr:col>
      <xdr:colOff>13062</xdr:colOff>
      <xdr:row>6</xdr:row>
      <xdr:rowOff>130629</xdr:rowOff>
    </xdr:to>
    <xdr:graphicFrame macro="">
      <xdr:nvGraphicFramePr>
        <xdr:cNvPr id="26" name="Chart 25">
          <a:extLst>
            <a:ext uri="{FF2B5EF4-FFF2-40B4-BE49-F238E27FC236}">
              <a16:creationId xmlns:a16="http://schemas.microsoft.com/office/drawing/2014/main" id="{9953BEEA-5695-40AF-95F9-3AC6ED5DA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91439</xdr:colOff>
      <xdr:row>7</xdr:row>
      <xdr:rowOff>39187</xdr:rowOff>
    </xdr:from>
    <xdr:to>
      <xdr:col>11</xdr:col>
      <xdr:colOff>121920</xdr:colOff>
      <xdr:row>15</xdr:row>
      <xdr:rowOff>82731</xdr:rowOff>
    </xdr:to>
    <xdr:graphicFrame macro="">
      <xdr:nvGraphicFramePr>
        <xdr:cNvPr id="31" name="Chart 30">
          <a:extLst>
            <a:ext uri="{FF2B5EF4-FFF2-40B4-BE49-F238E27FC236}">
              <a16:creationId xmlns:a16="http://schemas.microsoft.com/office/drawing/2014/main" id="{25584185-DF56-4CC7-8D72-AAB8E05C8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317863</xdr:colOff>
      <xdr:row>0</xdr:row>
      <xdr:rowOff>47896</xdr:rowOff>
    </xdr:from>
    <xdr:to>
      <xdr:col>6</xdr:col>
      <xdr:colOff>508821</xdr:colOff>
      <xdr:row>2</xdr:row>
      <xdr:rowOff>178526</xdr:rowOff>
    </xdr:to>
    <mc:AlternateContent xmlns:mc="http://schemas.openxmlformats.org/markup-compatibility/2006" xmlns:a14="http://schemas.microsoft.com/office/drawing/2010/main">
      <mc:Choice Requires="a14">
        <xdr:graphicFrame macro="">
          <xdr:nvGraphicFramePr>
            <xdr:cNvPr id="33" name="Date (Year)">
              <a:extLst>
                <a:ext uri="{FF2B5EF4-FFF2-40B4-BE49-F238E27FC236}">
                  <a16:creationId xmlns:a16="http://schemas.microsoft.com/office/drawing/2014/main" id="{1FD28761-4BA2-4732-896B-74621164AB2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65863" y="47896"/>
              <a:ext cx="800558" cy="496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0.89219</cdr:y>
    </cdr:from>
    <cdr:to>
      <cdr:x>1</cdr:x>
      <cdr:y>1</cdr:y>
    </cdr:to>
    <cdr:sp macro="" textlink="">
      <cdr:nvSpPr>
        <cdr:cNvPr id="2" name="TextBox 11">
          <a:extLst xmlns:a="http://schemas.openxmlformats.org/drawingml/2006/main">
            <a:ext uri="{FF2B5EF4-FFF2-40B4-BE49-F238E27FC236}">
              <a16:creationId xmlns:a16="http://schemas.microsoft.com/office/drawing/2014/main" id="{27DEEEEE-2B4B-470D-BBAB-03C81E997323}"/>
            </a:ext>
          </a:extLst>
        </cdr:cNvPr>
        <cdr:cNvSpPr txBox="1"/>
      </cdr:nvSpPr>
      <cdr:spPr>
        <a:xfrm xmlns:a="http://schemas.openxmlformats.org/drawingml/2006/main">
          <a:off x="0" y="1045029"/>
          <a:ext cx="1136469" cy="1262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baseline="0"/>
            <a:t>Patient Attended Status</a:t>
          </a:r>
          <a:endParaRPr lang="en-IN" sz="500" baseline="0"/>
        </a:p>
        <a:p xmlns:a="http://schemas.openxmlformats.org/drawingml/2006/main">
          <a:pPr algn="ctr"/>
          <a:endParaRPr lang="en-IN" sz="400"/>
        </a:p>
      </cdr:txBody>
    </cdr:sp>
  </cdr:relSizeAnchor>
</c:userShapes>
</file>

<file path=xl/drawings/drawing4.xml><?xml version="1.0" encoding="utf-8"?>
<c:userShapes xmlns:c="http://schemas.openxmlformats.org/drawingml/2006/chart">
  <cdr:relSizeAnchor xmlns:cdr="http://schemas.openxmlformats.org/drawingml/2006/chartDrawing">
    <cdr:from>
      <cdr:x>0.10501</cdr:x>
      <cdr:y>0.86061</cdr:y>
    </cdr:from>
    <cdr:to>
      <cdr:x>0.88492</cdr:x>
      <cdr:y>0.96884</cdr:y>
    </cdr:to>
    <cdr:sp macro="" textlink="">
      <cdr:nvSpPr>
        <cdr:cNvPr id="2" name="TextBox 11">
          <a:extLst xmlns:a="http://schemas.openxmlformats.org/drawingml/2006/main">
            <a:ext uri="{FF2B5EF4-FFF2-40B4-BE49-F238E27FC236}">
              <a16:creationId xmlns:a16="http://schemas.microsoft.com/office/drawing/2014/main" id="{27DEEEEE-2B4B-470D-BBAB-03C81E997323}"/>
            </a:ext>
          </a:extLst>
        </cdr:cNvPr>
        <cdr:cNvSpPr txBox="1"/>
      </cdr:nvSpPr>
      <cdr:spPr>
        <a:xfrm xmlns:a="http://schemas.openxmlformats.org/drawingml/2006/main">
          <a:off x="124823" y="1030515"/>
          <a:ext cx="927100" cy="1296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Gender</a:t>
          </a:r>
          <a:r>
            <a:rPr lang="en-IN" sz="800" baseline="0"/>
            <a:t> Wise Analysis</a:t>
          </a:r>
          <a:endParaRPr lang="en-IN" sz="800"/>
        </a:p>
      </cdr:txBody>
    </cdr:sp>
  </cdr:relSizeAnchor>
</c:userShapes>
</file>

<file path=xl/drawings/drawing5.xml><?xml version="1.0" encoding="utf-8"?>
<c:userShapes xmlns:c="http://schemas.openxmlformats.org/drawingml/2006/chart">
  <cdr:relSizeAnchor xmlns:cdr="http://schemas.openxmlformats.org/drawingml/2006/chartDrawing">
    <cdr:from>
      <cdr:x>0.04762</cdr:x>
      <cdr:y>0.90174</cdr:y>
    </cdr:from>
    <cdr:to>
      <cdr:x>0.94356</cdr:x>
      <cdr:y>1</cdr:y>
    </cdr:to>
    <cdr:sp macro="" textlink="">
      <cdr:nvSpPr>
        <cdr:cNvPr id="2" name="TextBox 11">
          <a:extLst xmlns:a="http://schemas.openxmlformats.org/drawingml/2006/main">
            <a:ext uri="{FF2B5EF4-FFF2-40B4-BE49-F238E27FC236}">
              <a16:creationId xmlns:a16="http://schemas.microsoft.com/office/drawing/2014/main" id="{27DEEEEE-2B4B-470D-BBAB-03C81E997323}"/>
            </a:ext>
          </a:extLst>
        </cdr:cNvPr>
        <cdr:cNvSpPr txBox="1"/>
      </cdr:nvSpPr>
      <cdr:spPr>
        <a:xfrm xmlns:a="http://schemas.openxmlformats.org/drawingml/2006/main">
          <a:off x="117567" y="1358540"/>
          <a:ext cx="2211977" cy="1480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No.</a:t>
          </a:r>
          <a:r>
            <a:rPr lang="en-IN" sz="800" baseline="0"/>
            <a:t> of Patient by Department Refereal</a:t>
          </a:r>
          <a:endParaRPr lang="en-IN" sz="8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108044</xdr:colOff>
      <xdr:row>0</xdr:row>
      <xdr:rowOff>85299</xdr:rowOff>
    </xdr:from>
    <xdr:to>
      <xdr:col>17</xdr:col>
      <xdr:colOff>216829</xdr:colOff>
      <xdr:row>25</xdr:row>
      <xdr:rowOff>13252</xdr:rowOff>
    </xdr:to>
    <xdr:graphicFrame macro="">
      <xdr:nvGraphicFramePr>
        <xdr:cNvPr id="2" name="Chart 1">
          <a:extLst>
            <a:ext uri="{FF2B5EF4-FFF2-40B4-BE49-F238E27FC236}">
              <a16:creationId xmlns:a16="http://schemas.microsoft.com/office/drawing/2014/main" id="{A3853D22-9E79-43B2-98C9-284B5A224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0.01247</cdr:x>
      <cdr:y>0.0325</cdr:y>
    </cdr:from>
    <cdr:to>
      <cdr:x>0.05538</cdr:x>
      <cdr:y>0.13033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BE5E20E-D054-1DAD-B247-E24DC15ED9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0097" y="148683"/>
          <a:ext cx="447481" cy="447481"/>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21475</xdr:colOff>
      <xdr:row>1</xdr:row>
      <xdr:rowOff>6927</xdr:rowOff>
    </xdr:from>
    <xdr:to>
      <xdr:col>14</xdr:col>
      <xdr:colOff>13855</xdr:colOff>
      <xdr:row>17</xdr:row>
      <xdr:rowOff>45492</xdr:rowOff>
    </xdr:to>
    <xdr:graphicFrame macro="">
      <xdr:nvGraphicFramePr>
        <xdr:cNvPr id="2" name="Chart 1">
          <a:extLst>
            <a:ext uri="{FF2B5EF4-FFF2-40B4-BE49-F238E27FC236}">
              <a16:creationId xmlns:a16="http://schemas.microsoft.com/office/drawing/2014/main" id="{DAE5D724-C0AB-4CDE-8616-6DD0DAD45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0.00802</cdr:x>
      <cdr:y>0.01349</cdr:y>
    </cdr:from>
    <cdr:to>
      <cdr:x>0.05694</cdr:x>
      <cdr:y>0.15464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F6FC930-C253-D92D-5612-782481397B5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8239" y="39806"/>
          <a:ext cx="416391" cy="416391"/>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xdr:twoCellAnchor>
    <xdr:from>
      <xdr:col>0</xdr:col>
      <xdr:colOff>108044</xdr:colOff>
      <xdr:row>0</xdr:row>
      <xdr:rowOff>85299</xdr:rowOff>
    </xdr:from>
    <xdr:to>
      <xdr:col>17</xdr:col>
      <xdr:colOff>216829</xdr:colOff>
      <xdr:row>25</xdr:row>
      <xdr:rowOff>13252</xdr:rowOff>
    </xdr:to>
    <xdr:graphicFrame macro="">
      <xdr:nvGraphicFramePr>
        <xdr:cNvPr id="2" name="Chart 1">
          <a:extLst>
            <a:ext uri="{FF2B5EF4-FFF2-40B4-BE49-F238E27FC236}">
              <a16:creationId xmlns:a16="http://schemas.microsoft.com/office/drawing/2014/main" id="{09ADC510-A9F3-4CD7-B288-06F2A00DF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0.01247</cdr:x>
      <cdr:y>0.0325</cdr:y>
    </cdr:from>
    <cdr:to>
      <cdr:x>0.05538</cdr:x>
      <cdr:y>0.13033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BE5E20E-D054-1DAD-B247-E24DC15ED9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0097" y="148683"/>
          <a:ext cx="447481" cy="44748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17824071" createdVersion="5" refreshedVersion="8" minRefreshableVersion="3" recordCount="0" supportSubquery="1" supportAdvancedDrill="1" xr:uid="{79B827B8-F31E-4E46-A68A-6B5C9F2AAE80}">
  <cacheSource type="external" connectionId="3"/>
  <cacheFields count="4">
    <cacheField name="[Measures].[Distinct Count of Patient Id]" caption="Distinct Count of Patient Id" numFmtId="0" hierarchy="24" level="32767"/>
    <cacheField name="[Calender_Table_new].[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_new].[Date (Month)].[Date (Month)]" caption="Date (Month)" numFmtId="0" hierarchy="3" level="1">
      <sharedItems containsSemiMixedTypes="0" containsNonDate="0" containsString="0"/>
    </cacheField>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2"/>
      </fieldsUsage>
    </cacheHierarchy>
    <cacheHierarchy uniqueName="[Calender_Table_new].[Date (Day)]" caption="Date (Day)" attribute="1" defaultMemberUniqueName="[Calender_Table_new].[Date (Day)].[All]" allUniqueName="[Calender_Table_new].[Date (Day)].[All]" dimensionUniqueName="[Calender_Table_new]" displayFolder="" count="2" memberValueDatatype="130" unbalanced="0">
      <fieldsUsage count="2">
        <fieldUsage x="-1"/>
        <fieldUsage x="1"/>
      </fieldsUsage>
    </cacheHierarchy>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18171294" createdVersion="5" refreshedVersion="8" minRefreshableVersion="3" recordCount="0" supportSubquery="1" supportAdvancedDrill="1" xr:uid="{951F891A-95A8-421A-B242-1A279A5C48C1}">
  <cacheSource type="external" connectionId="3"/>
  <cacheFields count="3">
    <cacheField name="[Measures].[Count of Patient Id]" caption="Count of Patient Id" numFmtId="0" hierarchy="23" level="32767"/>
    <cacheField name="[Calender_Table_new].[Date (Month)].[Date (Month)]" caption="Date (Month)" numFmtId="0" hierarchy="3" level="1">
      <sharedItems containsSemiMixedTypes="0" containsNonDate="0" containsString="0"/>
    </cacheField>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2"/>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1"/>
      </fieldsUsage>
    </cacheHierarchy>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18402779" createdVersion="5" refreshedVersion="8" minRefreshableVersion="3" recordCount="0" supportSubquery="1" supportAdvancedDrill="1" xr:uid="{3F19881E-91FD-483E-8592-11D7002FCA51}">
  <cacheSource type="external" connectionId="3"/>
  <cacheFields count="3">
    <cacheField name="[Measures].[Average of Patient Waittime]" caption="Average of Patient Waittime" numFmtId="0" hierarchy="26" level="32767"/>
    <cacheField name="[Calender_Table_new].[Date (Month)].[Date (Month)]" caption="Date (Month)" numFmtId="0" hierarchy="3" level="1">
      <sharedItems containsSemiMixedTypes="0" containsNonDate="0" containsString="0"/>
    </cacheField>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2"/>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1"/>
      </fieldsUsage>
    </cacheHierarchy>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18750002" createdVersion="5" refreshedVersion="8" minRefreshableVersion="3" recordCount="0" supportSubquery="1" supportAdvancedDrill="1" xr:uid="{48B1FAB5-FD6D-47A9-937C-0648C5C80F2E}">
  <cacheSource type="external" connectionId="3"/>
  <cacheFields count="3">
    <cacheField name="[Measures].[Average of Patient Satisfaction Score]" caption="Average of Patient Satisfaction Score" numFmtId="0" hierarchy="28" level="32767"/>
    <cacheField name="[Calender_Table_new].[Date (Month)].[Date (Month)]" caption="Date (Month)" numFmtId="0" hierarchy="3" level="1">
      <sharedItems containsSemiMixedTypes="0" containsNonDate="0" containsString="0"/>
    </cacheField>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2"/>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1"/>
      </fieldsUsage>
    </cacheHierarchy>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19444441" createdVersion="5" refreshedVersion="8" minRefreshableVersion="3" recordCount="0" supportSubquery="1" supportAdvancedDrill="1" xr:uid="{2D59E823-BC59-4A50-A413-55B17CD28F22}">
  <cacheSource type="external" connectionId="3"/>
  <cacheFields count="4">
    <cacheField name="[Calender_Table_new].[Date (Day)].[Date (Day)]" caption="Date (Day)" numFmtId="0" hierarchy="4" level="1">
      <sharedItems count="62">
        <s v="1-Jan"/>
        <s v="2-Jan"/>
        <s v="3-Jan"/>
        <s v="4-Jan"/>
        <s v="5-Jan"/>
        <s v="6-Jan"/>
        <s v="7-Jan"/>
        <s v="8-Jan"/>
        <s v="9-Jan"/>
        <s v="10-Jan"/>
        <s v="11-Jan"/>
        <s v="12-Jan"/>
        <s v="13-Jan"/>
        <s v="14-Jan"/>
        <s v="15-Jan"/>
        <s v="16-Jan"/>
        <s v="17-Jan"/>
        <s v="18-Jan"/>
        <s v="19-Jan"/>
        <s v="20-Jan"/>
        <s v="21-Jan"/>
        <s v="22-Jan"/>
        <s v="23-Jan"/>
        <s v="24-Jan"/>
        <s v="25-Jan"/>
        <s v="26-Jan"/>
        <s v="27-Jan"/>
        <s v="28-Jan"/>
        <s v="29-Jan"/>
        <s v="30-Jan"/>
        <s v="31-Jan"/>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haredItems>
    </cacheField>
    <cacheField name="[Calender_Table_new].[Date (Month)].[Date (Month)]" caption="Date (Month)" numFmtId="0" hierarchy="3" level="1">
      <sharedItems containsSemiMixedTypes="0" containsNonDate="0" containsString="0"/>
    </cacheField>
    <cacheField name="[Measures].[Average of Patient Waittime]" caption="Average of Patient Waittime" numFmtId="0" hierarchy="26" level="32767"/>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1"/>
      </fieldsUsage>
    </cacheHierarchy>
    <cacheHierarchy uniqueName="[Calender_Table_new].[Date (Day)]" caption="Date (Day)" attribute="1" defaultMemberUniqueName="[Calender_Table_new].[Date (Day)].[All]" allUniqueName="[Calender_Table_new].[Date (Day)].[All]" dimensionUniqueName="[Calender_Table_new]" displayFolder="" count="2" memberValueDatatype="130" unbalanced="0">
      <fieldsUsage count="2">
        <fieldUsage x="-1"/>
        <fieldUsage x="0"/>
      </fieldsUsage>
    </cacheHierarchy>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20138888" createdVersion="5" refreshedVersion="8" minRefreshableVersion="3" recordCount="0" supportSubquery="1" supportAdvancedDrill="1" xr:uid="{703595D0-25BC-407A-A091-C0315916B38E}">
  <cacheSource type="external" connectionId="3"/>
  <cacheFields count="4">
    <cacheField name="[Calender_Table_new].[Date (Day)].[Date (Day)]" caption="Date (Day)" numFmtId="0" hierarchy="4" level="1">
      <sharedItems count="93">
        <s v="1-Jan"/>
        <s v="2-Jan"/>
        <s v="3-Jan"/>
        <s v="4-Jan"/>
        <s v="5-Jan"/>
        <s v="6-Jan"/>
        <s v="7-Jan"/>
        <s v="8-Jan"/>
        <s v="9-Jan"/>
        <s v="10-Jan"/>
        <s v="11-Jan"/>
        <s v="12-Jan"/>
        <s v="13-Jan"/>
        <s v="14-Jan"/>
        <s v="15-Jan"/>
        <s v="16-Jan"/>
        <s v="17-Jan"/>
        <s v="18-Jan"/>
        <s v="19-Jan"/>
        <s v="20-Jan"/>
        <s v="21-Jan"/>
        <s v="22-Jan"/>
        <s v="23-Jan"/>
        <s v="24-Jan"/>
        <s v="25-Jan"/>
        <s v="26-Jan"/>
        <s v="27-Jan"/>
        <s v="28-Jan"/>
        <s v="29-Jan"/>
        <s v="30-Jan"/>
        <s v="31-Jan"/>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Calender_Table_new].[Date (Month)].[Date (Month)]" caption="Date (Month)" numFmtId="0" hierarchy="3" level="1">
      <sharedItems containsSemiMixedTypes="0" containsNonDate="0" containsString="0"/>
    </cacheField>
    <cacheField name="[Measures].[Average of Patient Satisfaction Score]" caption="Average of Patient Satisfaction Score" numFmtId="0" hierarchy="28" level="32767"/>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1"/>
      </fieldsUsage>
    </cacheHierarchy>
    <cacheHierarchy uniqueName="[Calender_Table_new].[Date (Day)]" caption="Date (Day)" attribute="1" defaultMemberUniqueName="[Calender_Table_new].[Date (Day)].[All]" allUniqueName="[Calender_Table_new].[Date (Day)].[All]" dimensionUniqueName="[Calender_Table_new]" displayFolder="" count="2" memberValueDatatype="130" unbalanced="0">
      <fieldsUsage count="2">
        <fieldUsage x="-1"/>
        <fieldUsage x="0"/>
      </fieldsUsage>
    </cacheHierarchy>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20949073" createdVersion="5" refreshedVersion="8" minRefreshableVersion="3" recordCount="0" supportSubquery="1" supportAdvancedDrill="1" xr:uid="{7647BBAA-CBA4-443C-9730-24BDB487A947}">
  <cacheSource type="external" connectionId="3"/>
  <cacheFields count="5">
    <cacheField name="[Calender_Table_new].[Date (Month)].[Date (Month)]" caption="Date (Month)" numFmtId="0" hierarchy="3" level="1">
      <sharedItems containsSemiMixedTypes="0" containsNonDate="0" containsString="0"/>
    </cacheField>
    <cacheField name="[Measures].[Count of Patient Admission Flag]" caption="Count of Patient Admission Flag" numFmtId="0" hierarchy="30" level="32767"/>
    <cacheField name="[Hospital_emergency_data].[Patient Admission Flag].[Patient Admission Flag]" caption="Patient Admission Flag" numFmtId="0" hierarchy="13" level="1">
      <sharedItems count="2">
        <s v="Admitted"/>
        <s v="Not Admitted"/>
      </sharedItems>
    </cacheField>
    <cacheField name="[Calender_Table_new].[Date (Year)].[Date (Year)]" caption="Date (Year)" numFmtId="0" hierarchy="1"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0"/>
      </fieldsUsage>
    </cacheHierarchy>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2" memberValueDatatype="130" unbalanced="0">
      <fieldsUsage count="2">
        <fieldUsage x="-1"/>
        <fieldUsage x="2"/>
      </fieldsUsage>
    </cacheHierarchy>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21643519" createdVersion="5" refreshedVersion="8" minRefreshableVersion="3" recordCount="0" supportSubquery="1" supportAdvancedDrill="1" xr:uid="{FB3DC355-4A18-4BC1-AE6D-2C774C4DE759}">
  <cacheSource type="external" connectionId="3"/>
  <cacheFields count="4">
    <cacheField name="[Calender_Table_new].[Date (Month)].[Date (Month)]" caption="Date (Month)" numFmtId="0" hierarchy="3" level="1">
      <sharedItems containsSemiMixedTypes="0" containsNonDate="0" containsString="0"/>
    </cacheField>
    <cacheField name="[Hospital_emergency_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0"/>
      </fieldsUsage>
    </cacheHierarchy>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2" memberValueDatatype="130" unbalanced="0">
      <fieldsUsage count="2">
        <fieldUsage x="-1"/>
        <fieldUsage x="1"/>
      </fieldsUsage>
    </cacheHierarchy>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22453705" createdVersion="5" refreshedVersion="8" minRefreshableVersion="3" recordCount="0" supportSubquery="1" supportAdvancedDrill="1" xr:uid="{89BC15E9-C652-4A95-9A8E-F570D80E01F8}">
  <cacheSource type="external" connectionId="3"/>
  <cacheFields count="4">
    <cacheField name="[Calender_Table_new].[Date (Month)].[Date (Month)]" caption="Date (Month)" numFmtId="0" hierarchy="3" level="1">
      <sharedItems containsSemiMixedTypes="0" containsNonDate="0" containsString="0"/>
    </cacheField>
    <cacheField name="[Measures].[Count of Patient Id]" caption="Count of Patient Id" numFmtId="0" hierarchy="23" level="32767"/>
    <cacheField name="[Hospital_emergency_data].[Patient Attend Status].[Patient Attend Status]" caption="Patient Attend Status" numFmtId="0" hierarchy="17" level="1">
      <sharedItems count="2">
        <s v="Delay"/>
        <s v="Ontime"/>
      </sharedItems>
    </cacheField>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0"/>
      </fieldsUsage>
    </cacheHierarchy>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2" memberValueDatatype="130" unbalanced="0">
      <fieldsUsage count="2">
        <fieldUsage x="-1"/>
        <fieldUsage x="2"/>
      </fieldsUsage>
    </cacheHierarchy>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23148151" createdVersion="5" refreshedVersion="8" minRefreshableVersion="3" recordCount="0" supportSubquery="1" supportAdvancedDrill="1" xr:uid="{4A693FC1-0322-4B9D-977A-38EFB993F5AB}">
  <cacheSource type="external" connectionId="3"/>
  <cacheFields count="4">
    <cacheField name="[Calender_Table_new].[Date (Month)].[Date (Month)]" caption="Date (Month)" numFmtId="0" hierarchy="3" level="1">
      <sharedItems containsSemiMixedTypes="0" containsNonDate="0" containsString="0"/>
    </cacheField>
    <cacheField name="[Hospital_emergency_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0"/>
      </fieldsUsage>
    </cacheHierarchy>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2" memberValueDatatype="130" unbalanced="0">
      <fieldsUsage count="2">
        <fieldUsage x="-1"/>
        <fieldUsage x="1"/>
      </fieldsUsage>
    </cacheHierarchy>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23958336" createdVersion="5" refreshedVersion="8" minRefreshableVersion="3" recordCount="0" supportSubquery="1" supportAdvancedDrill="1" xr:uid="{476F4316-C906-4F08-9F75-DE36F4C617AF}">
  <cacheSource type="external" connectionId="3"/>
  <cacheFields count="4">
    <cacheField name="[Calender_Table_new].[Date (Month)].[Date (Month)]" caption="Date (Month)" numFmtId="0" hierarchy="3" level="1">
      <sharedItems containsSemiMixedTypes="0" containsNonDate="0" containsString="0"/>
    </cacheField>
    <cacheField name="[Hospital_emergency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_new].[Date (Year)].[Date (Year)]" caption="Date (Year)" numFmtId="0" hierarchy="1" level="1">
      <sharedItems containsSemiMixedTypes="0" containsNonDate="0" containsString="0"/>
    </cacheField>
  </cacheFields>
  <cacheHierarchies count="36">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0"/>
      </fieldsUsage>
    </cacheHierarchy>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2" memberValueDatatype="130" unbalanced="0">
      <fieldsUsage count="2">
        <fieldUsage x="-1"/>
        <fieldUsage x="1"/>
      </fieldsUsage>
    </cacheHierarchy>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67.646724652775" createdVersion="5" refreshedVersion="8" minRefreshableVersion="3" recordCount="0" supportSubquery="1" supportAdvancedDrill="1" xr:uid="{72515B30-3FBD-4188-8770-63B1BAADDB60}">
  <cacheSource type="external" connectionId="3"/>
  <cacheFields count="4">
    <cacheField name="[Calender_Table_new].[Date (Month)].[Date (Month)]" caption="Date (Month)" numFmtId="0" hierarchy="3" level="1">
      <sharedItems count="1">
        <s v="May"/>
      </sharedItems>
    </cacheField>
    <cacheField name="[Calender_Table_new].[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_new].[Date (Quarter)].[Date (Quarter)]" caption="Date (Quarter)" numFmtId="0" hierarchy="2" level="1">
      <sharedItems count="1">
        <s v="Qtr2"/>
      </sharedItems>
    </cacheField>
    <cacheField name="[Calender_Table_new].[Date (Year)].[Date (Year)]" caption="Date (Year)" numFmtId="0" hierarchy="1" level="1">
      <sharedItems count="1">
        <s v="2024"/>
      </sharedItems>
    </cacheField>
  </cacheFields>
  <cacheHierarchies count="36">
    <cacheHierarchy uniqueName="[Calender_Table_new].[Date]" caption="Date" attribute="1" time="1" defaultMemberUniqueName="[Calender_Table_new].[Date].[All]" allUniqueName="[Calender_Table_new].[Date].[All]" dimensionUniqueName="[Calender_Table_new]" displayFolder="" count="2" memberValueDatatype="7" unbalanced="0">
      <fieldsUsage count="2">
        <fieldUsage x="-1"/>
        <fieldUsage x="1"/>
      </fieldsUsage>
    </cacheHierarchy>
    <cacheHierarchy uniqueName="[Calender_Table_new].[Date (Year)]" caption="Date (Year)" attribute="1" defaultMemberUniqueName="[Calender_Table_new].[Date (Year)].[All]" allUniqueName="[Calender_Table_new].[Date (Year)].[All]" dimensionUniqueName="[Calender_Table_new]" displayFolder="" count="2" memberValueDatatype="130" unbalanced="0">
      <fieldsUsage count="2">
        <fieldUsage x="-1"/>
        <fieldUsage x="3"/>
      </fieldsUsage>
    </cacheHierarchy>
    <cacheHierarchy uniqueName="[Calender_Table_new].[Date (Quarter)]" caption="Date (Quarter)" attribute="1" defaultMemberUniqueName="[Calender_Table_new].[Date (Quarter)].[All]" allUniqueName="[Calender_Table_new].[Date (Quarter)].[All]" dimensionUniqueName="[Calender_Table_new]" displayFolder="" count="2" memberValueDatatype="130" unbalanced="0">
      <fieldsUsage count="2">
        <fieldUsage x="-1"/>
        <fieldUsage x="2"/>
      </fieldsUsage>
    </cacheHierarchy>
    <cacheHierarchy uniqueName="[Calender_Table_new].[Date (Month)]" caption="Date (Month)" attribute="1" defaultMemberUniqueName="[Calender_Table_new].[Date (Month)].[All]" allUniqueName="[Calender_Table_new].[Date (Month)].[All]" dimensionUniqueName="[Calender_Table_new]" displayFolder="" count="2" memberValueDatatype="130" unbalanced="0">
      <fieldsUsage count="2">
        <fieldUsage x="-1"/>
        <fieldUsage x="0"/>
      </fieldsUsage>
    </cacheHierarchy>
    <cacheHierarchy uniqueName="[Calender_Table_new].[Date (Day)]" caption="Date (Day)" attribute="1" defaultMemberUniqueName="[Calender_Table_new].[Date (Day)].[All]" allUniqueName="[Calender_Table_new].[Date (Day)].[All]" dimensionUniqueName="[Calender_Table_new]" displayFolder="" count="2"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2"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2"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2" memberValueDatatype="7" unbalanced="0"/>
    <cacheHierarchy uniqueName="[Hospital_emergency_data].[Merged]" caption="Merged" attribute="1" defaultMemberUniqueName="[Hospital_emergency_data].[Merged].[All]" allUniqueName="[Hospital_emergency_data].[Merged].[All]" dimensionUniqueName="[Hospital_emergency_data]" displayFolder="" count="2"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2"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2"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2"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2"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2"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2"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2"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2"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2"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2"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2"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_new" count="0" hidden="1">
      <extLst>
        <ext xmlns:x15="http://schemas.microsoft.com/office/spreadsheetml/2010/11/main" uri="{B97F6D7D-B522-45F9-BDA1-12C45D357490}">
          <x15:cacheHierarchy aggregatedColumn="0"/>
        </ext>
      </extLst>
    </cacheHierarchy>
  </cacheHierarchies>
  <kpis count="0"/>
  <dimensions count="3">
    <dimension name="Calender_Table_new" uniqueName="[Calender_Table_new]" caption="Calender_Table_new"/>
    <dimension name="Hospital_emergency_data" uniqueName="[Hospital_emergency_data]" caption="Hospital_emergency_data"/>
    <dimension measure="1" name="Measures" uniqueName="[Measures]" caption="Measures"/>
  </dimensions>
  <measureGroups count="2">
    <measureGroup name="Calender_Table_new" caption="Calender_Table_new"/>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onane" refreshedDate="46159.600665393518" createdVersion="3" refreshedVersion="8" minRefreshableVersion="3" recordCount="0" supportSubquery="1" supportAdvancedDrill="1" xr:uid="{35EA0C9D-D07C-4FEF-98CD-4634E2627CA6}">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er_Table_new].[Date]" caption="Date" attribute="1" time="1" defaultMemberUniqueName="[Calender_Table_new].[Date].[All]" allUniqueName="[Calender_Table_new].[Date].[All]" dimensionUniqueName="[Calender_Table_new]" displayFolder="" count="0" memberValueDatatype="7" unbalanced="0"/>
    <cacheHierarchy uniqueName="[Calender_Table_new].[Date (Year)]" caption="Date (Year)" attribute="1" defaultMemberUniqueName="[Calender_Table_new].[Date (Year)].[All]" allUniqueName="[Calender_Table_new].[Date (Year)].[All]" dimensionUniqueName="[Calender_Table_new]" displayFolder="" count="2" memberValueDatatype="130" unbalanced="0"/>
    <cacheHierarchy uniqueName="[Calender_Table_new].[Date (Quarter)]" caption="Date (Quarter)" attribute="1" defaultMemberUniqueName="[Calender_Table_new].[Date (Quarter)].[All]" allUniqueName="[Calender_Table_new].[Date (Quarter)].[All]" dimensionUniqueName="[Calender_Table_new]" displayFolder="" count="0" memberValueDatatype="130" unbalanced="0"/>
    <cacheHierarchy uniqueName="[Calender_Table_new].[Date (Month)]" caption="Date (Month)" attribute="1" defaultMemberUniqueName="[Calender_Table_new].[Date (Month)].[All]" allUniqueName="[Calender_Table_new].[Date (Month)].[All]" dimensionUniqueName="[Calender_Table_new]" displayFolder="" count="2" memberValueDatatype="130" unbalanced="0"/>
    <cacheHierarchy uniqueName="[Calender_Table_new].[Date (Day)]" caption="Date (Day)" attribute="1" defaultMemberUniqueName="[Calender_Table_new].[Date (Day)].[All]" allUniqueName="[Calender_Table_new].[Date (Day)].[All]" dimensionUniqueName="[Calender_Table_new]"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ssion Time]" caption="Patient Admission Time" attribute="1" time="1" defaultMemberUniqueName="[Hospital_emergency_data].[Patient Admission Time].[All]" allUniqueName="[Hospital_emergency_data].[Patient Admission Time].[All]" dimensionUniqueName="[Hospital_emergency_data]" displayFolder="" count="0" memberValueDatatype="7" unbalanced="0"/>
    <cacheHierarchy uniqueName="[Hospital_emergency_data].[Merged]" caption="Merged" attribute="1" defaultMemberUniqueName="[Hospital_emergency_data].[Merged].[All]" allUniqueName="[Hospital_emergency_data].[Merged].[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Age Group]" caption="Age Group" attribute="1" defaultMemberUniqueName="[Hospital_emergency_data].[Age Group].[All]" allUniqueName="[Hospital_emergency_data].[Age Group].[All]" dimensionUniqueName="[Hospital_emergency_data]" displayFolder="" count="0" memberValueDatatype="130" unbalanced="0"/>
    <cacheHierarchy uniqueName="[Hospital_emergency_data].[Patient Attend Status]" caption="Patient Attend Status" attribute="1" defaultMemberUniqueName="[Hospital_emergency_data].[Patient Attend Status].[All]" allUniqueName="[Hospital_emergency_data].[Patient Attend Status].[All]" dimensionUniqueName="[Hospital_emergency_data]" displayFolder="" count="0" memberValueDatatype="130" unbalanced="0"/>
    <cacheHierarchy uniqueName="[Calender_Table_new].[Date (Day Index)]" caption="Date (Day Index)" attribute="1" defaultMemberUniqueName="[Calender_Table_new].[Date (Day Index)].[All]" allUniqueName="[Calender_Table_new].[Date (Day Index)].[All]" dimensionUniqueName="[Calender_Table_new]" displayFolder="" count="0" memberValueDatatype="5" unbalanced="0" hidden="1"/>
    <cacheHierarchy uniqueName="[Calender_Table_new].[Date (Month Index)]" caption="Date (Month Index)" attribute="1" defaultMemberUniqueName="[Calender_Table_new].[Date (Month Index)].[All]" allUniqueName="[Calender_Table_new].[Date (Month Index)].[All]" dimensionUniqueName="[Calender_Table_new]" displayFolder="" count="0" memberValueDatatype="20" unbalanced="0" hidden="1"/>
    <cacheHierarchy uniqueName="[Measures].[__XL_Count Hospital_emergency_data]" caption="__XL_Count Hospital_emergency_data" measure="1" displayFolder="" measureGroup="Hospital_emergency_data" count="0" hidden="1"/>
    <cacheHierarchy uniqueName="[Measures].[__XL_Count Calender_Table_new]" caption="__XL_Count Calender_Table_new" measure="1" displayFolder="" measureGroup="Calender_Table_new" count="0" hidden="1"/>
    <cacheHierarchy uniqueName="[Measures].[__No measures defined]" caption="__No measures defined" measure="1" displayFolder="" count="0" hidden="1"/>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844120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E4C28D-1A37-4B2F-B303-B97FD04EDC72}" name="PivotTable10" cacheId="107" applyNumberFormats="0" applyBorderFormats="0" applyFontFormats="0" applyPatternFormats="0" applyAlignmentFormats="0" applyWidthHeightFormats="1" dataCaption="Values" tag="ccc82738-9b6f-49da-ae88-f3186d0f8401" updatedVersion="8" minRefreshableVersion="3" subtotalHiddenItems="1" itemPrintTitles="1" createdVersion="5" indent="0" outline="1" outlineData="1" multipleFieldFilters="0" chartFormat="29">
  <location ref="A72:B7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3">
    <format dxfId="2">
      <pivotArea outline="0" collapsedLevelsAreSubtotals="1" fieldPosition="0"/>
    </format>
    <format dxfId="1">
      <pivotArea grandRow="1" outline="0" collapsedLevelsAreSubtotals="1" fieldPosition="0"/>
    </format>
    <format dxfId="0">
      <pivotArea collapsedLevelsAreSubtotals="1" fieldPosition="0">
        <references count="1">
          <reference field="2" count="0"/>
        </references>
      </pivotArea>
    </format>
  </format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2" count="1" selected="0">
            <x v="0"/>
          </reference>
        </references>
      </pivotArea>
    </chartFormat>
    <chartFormat chart="28"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F8158-26C5-46E6-A047-35EDC48AF530}" name="PivotTable1" cacheId="100" applyNumberFormats="0" applyBorderFormats="0" applyFontFormats="0" applyPatternFormats="0" applyAlignmentFormats="0" applyWidthHeightFormats="1" dataCaption="Values" tag="8ffdf21e-4f23-4388-ab74-8ea68c12c858"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4A23B-1444-4A22-8D53-370B14C5224F}" name="PivotTable8" cacheId="104" applyNumberFormats="0" applyBorderFormats="0" applyFontFormats="0" applyPatternFormats="0" applyAlignmentFormats="0" applyWidthHeightFormats="1" dataCaption="Values" tag="8ffdf21e-4f23-4388-ab74-8ea68c12c858" updatedVersion="8" minRefreshableVersion="3" subtotalHiddenItems="1" itemPrintTitles="1" createdVersion="5" indent="0" outline="1" outlineData="1" multipleFieldFilters="0" chartFormat="31">
  <location ref="N4:O36" firstHeaderRow="1" firstDataRow="1" firstDataCol="1"/>
  <pivotFields count="4">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4">
    <format dxfId="6">
      <pivotArea grandRow="1" outline="0" collapsedLevelsAreSubtotals="1" fieldPosition="0"/>
    </format>
    <format dxfId="5">
      <pivotArea collapsedLevelsAreSubtotals="1" fieldPosition="0">
        <references count="1">
          <reference field="0" count="30">
            <x v="31"/>
            <x v="32"/>
            <x v="33"/>
            <x v="34"/>
            <x v="35"/>
            <x v="36"/>
            <x v="37"/>
            <x v="38"/>
            <x v="39"/>
            <x v="40"/>
            <x v="41"/>
            <x v="42"/>
            <x v="43"/>
            <x v="44"/>
            <x v="45"/>
            <x v="46"/>
            <x v="47"/>
            <x v="48"/>
            <x v="49"/>
            <x v="50"/>
            <x v="51"/>
            <x v="52"/>
            <x v="53"/>
            <x v="54"/>
            <x v="55"/>
            <x v="56"/>
            <x v="57"/>
            <x v="58"/>
            <x v="59"/>
            <x v="60"/>
          </reference>
        </references>
      </pivotArea>
    </format>
    <format dxfId="4">
      <pivotArea collapsedLevelsAreSubtotals="1" fieldPosition="0">
        <references count="1">
          <reference field="0" count="1">
            <x v="61"/>
          </reference>
        </references>
      </pivotArea>
    </format>
    <format dxfId="3">
      <pivotArea collapsedLevelsAreSubtotals="1" fieldPosition="0">
        <references count="1">
          <reference field="0" count="31">
            <x v="62"/>
            <x v="63"/>
            <x v="64"/>
            <x v="65"/>
            <x v="66"/>
            <x v="67"/>
            <x v="68"/>
            <x v="69"/>
            <x v="70"/>
            <x v="71"/>
            <x v="72"/>
            <x v="73"/>
            <x v="74"/>
            <x v="75"/>
            <x v="76"/>
            <x v="77"/>
            <x v="78"/>
            <x v="79"/>
            <x v="80"/>
            <x v="81"/>
            <x v="82"/>
            <x v="83"/>
            <x v="84"/>
            <x v="85"/>
            <x v="86"/>
            <x v="87"/>
            <x v="88"/>
            <x v="89"/>
            <x v="90"/>
            <x v="91"/>
            <x v="92"/>
          </reference>
        </references>
      </pivotArea>
    </format>
  </formats>
  <chartFormats count="3">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E4EEAD-0466-4C8C-B75E-F4C993BAA4AC}" name="PivotTable13" cacheId="110" applyNumberFormats="0" applyBorderFormats="0" applyFontFormats="0" applyPatternFormats="0" applyAlignmentFormats="0" applyWidthHeightFormats="1" dataCaption="Values" tag="ccc82738-9b6f-49da-ae88-f3186d0f8401" updatedVersion="8" minRefreshableVersion="3" subtotalHiddenItems="1" itemPrintTitles="1" createdVersion="5" indent="0" outline="1" outlineData="1" multipleFieldFilters="0" chartFormat="39">
  <location ref="A102:A10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8">
      <pivotArea outline="0" collapsedLevelsAreSubtotals="1" fieldPosition="0"/>
    </format>
    <format dxfId="7">
      <pivotArea grandRow="1" outline="0" collapsedLevelsAreSubtotals="1" fieldPosition="0"/>
    </format>
  </formats>
  <pivotHierarchies count="36">
    <pivotHierarchy dragToData="1"/>
    <pivotHierarchy multipleItemSelectionAllowed="1" dragToData="1"/>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FB1799-A3D4-4325-836C-C462926A62D4}" name="PivotTable5" cacheId="105" applyNumberFormats="0" applyBorderFormats="0" applyFontFormats="0" applyPatternFormats="0" applyAlignmentFormats="0" applyWidthHeightFormats="1" dataCaption="Values" tag="ccc82738-9b6f-49da-ae88-f3186d0f8401" updatedVersion="8" minRefreshableVersion="3" subtotalHiddenItems="1" itemPrintTitles="1" createdVersion="5" indent="0" outline="1" outlineData="1" multipleFieldFilters="0" chartFormat="16">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0">
      <pivotArea outline="0" collapsedLevelsAreSubtotals="1" fieldPosition="0"/>
    </format>
    <format dxfId="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B64744-8027-4A3A-87EB-23FB2E32B51E}" name="PivotTable7" cacheId="103" applyNumberFormats="0" applyBorderFormats="0" applyFontFormats="0" applyPatternFormats="0" applyAlignmentFormats="0" applyWidthHeightFormats="1" dataCaption="Values" tag="8ffdf21e-4f23-4388-ab74-8ea68c12c858" updatedVersion="8" minRefreshableVersion="3" subtotalHiddenItems="1" itemPrintTitles="1" createdVersion="5" indent="0" outline="1" outlineData="1" multipleFieldFilters="0" chartFormat="27">
  <location ref="J4:K36" firstHeaderRow="1" firstDataRow="1" firstDataCol="1"/>
  <pivotFields count="4">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3">
    <format dxfId="13">
      <pivotArea grandRow="1" outline="0" collapsedLevelsAreSubtotals="1" fieldPosition="0"/>
    </format>
    <format dxfId="12">
      <pivotArea collapsedLevelsAreSubtotals="1" fieldPosition="0">
        <references count="1">
          <reference field="0" count="30">
            <x v="31"/>
            <x v="32"/>
            <x v="33"/>
            <x v="34"/>
            <x v="35"/>
            <x v="36"/>
            <x v="37"/>
            <x v="38"/>
            <x v="39"/>
            <x v="40"/>
            <x v="41"/>
            <x v="42"/>
            <x v="43"/>
            <x v="44"/>
            <x v="45"/>
            <x v="46"/>
            <x v="47"/>
            <x v="48"/>
            <x v="49"/>
            <x v="50"/>
            <x v="51"/>
            <x v="52"/>
            <x v="53"/>
            <x v="54"/>
            <x v="55"/>
            <x v="56"/>
            <x v="57"/>
            <x v="58"/>
            <x v="59"/>
            <x v="60"/>
          </reference>
        </references>
      </pivotArea>
    </format>
    <format dxfId="11">
      <pivotArea collapsedLevelsAreSubtotals="1" fieldPosition="0">
        <references count="1">
          <reference field="0" count="1">
            <x v="61"/>
          </reference>
        </references>
      </pivotArea>
    </format>
  </formats>
  <chartFormats count="3">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9DD167-9BB6-4B0D-B475-93292BBE86D0}" name="PivotTable6" cacheId="99" applyNumberFormats="0" applyBorderFormats="0" applyFontFormats="0" applyPatternFormats="0" applyAlignmentFormats="0" applyWidthHeightFormats="1" dataCaption="Values" tag="8ffdf21e-4f23-4388-ab74-8ea68c12c858" updatedVersion="8" minRefreshableVersion="3" subtotalHiddenItems="1" itemPrintTitles="1" createdVersion="5" indent="0" outline="1" outlineData="1" multipleFieldFilters="0" chartFormat="17">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6"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D8C171-ED0D-4442-8AEA-5B03AD210B04}" name="PivotTable3" cacheId="101" applyNumberFormats="0" applyBorderFormats="0" applyFontFormats="0" applyPatternFormats="0" applyAlignmentFormats="0" applyWidthHeightFormats="1" dataCaption="Values" tag="4cffb9e4-aec9-4d54-ba67-3b6492602922"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
      <pivotArea outline="0" collapsedLevelsAreSubtotals="1" fieldPosition="0"/>
    </format>
  </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614192-F8A4-4B2F-A4DC-42810EBC6F29}" name="PivotTable11" cacheId="108" applyNumberFormats="0" applyBorderFormats="0" applyFontFormats="0" applyPatternFormats="0" applyAlignmentFormats="0" applyWidthHeightFormats="1" dataCaption="Values" tag="ccc82738-9b6f-49da-ae88-f3186d0f8401" updatedVersion="8" minRefreshableVersion="3" subtotalHiddenItems="1" itemPrintTitles="1" createdVersion="5" indent="0" outline="1" outlineData="1" multipleFieldFilters="0" chartFormat="36">
  <location ref="A83:B8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6">
      <pivotArea outline="0" collapsedLevelsAreSubtotals="1" fieldPosition="0"/>
    </format>
    <format dxfId="15">
      <pivotArea grandRow="1" outline="0" collapsedLevelsAreSubtotals="1" fieldPosition="0"/>
    </format>
  </formats>
  <chartFormats count="3">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 count="1" selected="0">
            <x v="0"/>
          </reference>
        </references>
      </pivotArea>
    </chartFormat>
    <chartFormat chart="3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6D4D8B-1A82-4FDB-9C2C-05FBC5674C2B}" name="PivotTable12" cacheId="109" applyNumberFormats="0" applyBorderFormats="0" applyFontFormats="0" applyPatternFormats="0" applyAlignmentFormats="0" applyWidthHeightFormats="1" dataCaption="Values" tag="ccc82738-9b6f-49da-ae88-f3186d0f8401" updatedVersion="8" minRefreshableVersion="3" subtotalHiddenItems="1" itemPrintTitles="1" createdVersion="5" indent="0" outline="1" outlineData="1" multipleFieldFilters="0" chartFormat="39">
  <location ref="A89:B9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3">
    <format dxfId="19">
      <pivotArea outline="0" collapsedLevelsAreSubtotals="1" fieldPosition="0"/>
    </format>
    <format dxfId="18">
      <pivotArea grandRow="1" outline="0" collapsedLevelsAreSubtotals="1" fieldPosition="0"/>
    </format>
    <format dxfId="17">
      <pivotArea collapsedLevelsAreSubtotals="1" fieldPosition="0">
        <references count="1">
          <reference field="1" count="0"/>
        </references>
      </pivotArea>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3DD3CA-DA4D-46B0-BBF6-686E56EEA422}" name="PivotTable9" cacheId="106" applyNumberFormats="0" applyBorderFormats="0" applyFontFormats="0" applyPatternFormats="0" applyAlignmentFormats="0" applyWidthHeightFormats="1" dataCaption="Values" tag="ccc82738-9b6f-49da-ae88-f3186d0f8401" updatedVersion="8" minRefreshableVersion="3" subtotalHiddenItems="1" itemPrintTitles="1" createdVersion="5" indent="0" outline="1" outlineData="1" multipleFieldFilters="0" chartFormat="22">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22">
      <pivotArea outline="0" collapsedLevelsAreSubtotals="1" fieldPosition="0"/>
    </format>
    <format dxfId="21">
      <pivotArea collapsedLevelsAreSubtotals="1" fieldPosition="0">
        <references count="1">
          <reference field="1" count="0"/>
        </references>
      </pivotArea>
    </format>
    <format dxfId="20">
      <pivotArea grandRow="1"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_Table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C264CB-CFFD-4554-B6D8-356C2BCA4766}" name="PivotTable4" cacheId="102" applyNumberFormats="0" applyBorderFormats="0" applyFontFormats="0" applyPatternFormats="0" applyAlignmentFormats="0" applyWidthHeightFormats="1" dataCaption="Values" tag="ccc82738-9b6f-49da-ae88-f3186d0f8401"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
      <pivotArea outline="0" collapsedLevelsAreSubtotals="1" fieldPosition="0"/>
    </format>
  </formats>
  <pivotHierarchies count="36">
    <pivotHierarchy dragToData="1"/>
    <pivotHierarchy multipleItemSelectionAllowed="1" dragToData="1">
      <members count="1" level="1">
        <member name="[Calender_Table_new].[Date (Year)].&amp;[2024]"/>
      </members>
    </pivotHierarchy>
    <pivotHierarchy dragToData="1"/>
    <pivotHierarchy multipleItemSelectionAllowed="1" dragToData="1">
      <members count="1" level="1">
        <member name="[Calender_Table_new].[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EA07318-E80E-4376-A1C5-853E8E7924B5}" sourceName="[Calender_Table_new].[Date (Month)]">
  <pivotTables>
    <pivotTable tabId="1" name="PivotTable6"/>
    <pivotTable tabId="1" name="PivotTable1"/>
    <pivotTable tabId="1" name="PivotTable3"/>
    <pivotTable tabId="1" name="PivotTable4"/>
    <pivotTable tabId="1" name="PivotTable7"/>
    <pivotTable tabId="1" name="PivotTable8"/>
    <pivotTable tabId="1" name="PivotTable5"/>
    <pivotTable tabId="1" name="PivotTable9"/>
    <pivotTable tabId="1" name="PivotTable10"/>
    <pivotTable tabId="1" name="PivotTable11"/>
    <pivotTable tabId="1" name="PivotTable12"/>
    <pivotTable tabId="1" name="PivotTable13"/>
  </pivotTables>
  <data>
    <olap pivotCacheId="2084412007">
      <levels count="2">
        <level uniqueName="[Calender_Table_new].[Date (Month)].[(All)]" sourceCaption="(All)" count="0"/>
        <level uniqueName="[Calender_Table_new].[Date (Month)].[Date (Month)]" sourceCaption="Date (Month)" count="12">
          <ranges>
            <range startItem="0">
              <i n="[Calender_Table_new].[Date (Month)].&amp;[Jan]" c="Jan"/>
              <i n="[Calender_Table_new].[Date (Month)].&amp;[Feb]" c="Feb"/>
              <i n="[Calender_Table_new].[Date (Month)].&amp;[Mar]" c="Mar"/>
              <i n="[Calender_Table_new].[Date (Month)].&amp;[Apr]" c="Apr"/>
              <i n="[Calender_Table_new].[Date (Month)].&amp;[May]" c="May"/>
              <i n="[Calender_Table_new].[Date (Month)].&amp;[Jun]" c="Jun"/>
              <i n="[Calender_Table_new].[Date (Month)].&amp;[Jul]" c="Jul"/>
              <i n="[Calender_Table_new].[Date (Month)].&amp;[Aug]" c="Aug"/>
              <i n="[Calender_Table_new].[Date (Month)].&amp;[Sep]" c="Sep"/>
              <i n="[Calender_Table_new].[Date (Month)].&amp;[Oct]" c="Oct"/>
              <i n="[Calender_Table_new].[Date (Month)].&amp;[Nov]" c="Nov"/>
              <i n="[Calender_Table_new].[Date (Month)].&amp;[Dec]" c="Dec"/>
            </range>
          </ranges>
        </level>
      </levels>
      <selections count="1">
        <selection n="[Calender_Table_new].[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059B9ED-5D76-4979-ACAC-AE77C228BECF}" sourceName="[Calender_Table_new].[Date (Year)]">
  <pivotTables>
    <pivotTable tabId="1" name="PivotTable13"/>
    <pivotTable tabId="1" name="PivotTable1"/>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olap pivotCacheId="2084412007">
      <levels count="2">
        <level uniqueName="[Calender_Table_new].[Date (Year)].[(All)]" sourceCaption="(All)" count="0"/>
        <level uniqueName="[Calender_Table_new].[Date (Year)].[Date (Year)]" sourceCaption="Date (Year)" count="2">
          <ranges>
            <range startItem="0">
              <i n="[Calender_Table_new].[Date (Year)].&amp;[2023]" c="2023"/>
              <i n="[Calender_Table_new].[Date (Year)].&amp;[2024]" c="2024"/>
            </range>
          </ranges>
        </level>
      </levels>
      <selections count="1">
        <selection n="[Calender_Table_new].[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2388282-9E40-41F6-81A6-0899BBB2A1FD}" cache="Slicer_Date__Month" caption="Date (Month)" showCaption="0" level="1" style="My style" rowHeight="144000"/>
  <slicer name="Date (Year)" xr10:uid="{4C44EBC5-581D-4ED8-9B99-B5086E72BACA}" cache="Slicer_Date__Year" caption="Date (Year)" showCaption="0" level="1"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034FF-E1A5-409E-BF0E-3A9C742AC1BA}">
  <dimension ref="A3:O104"/>
  <sheetViews>
    <sheetView topLeftCell="G1" zoomScale="131" zoomScaleNormal="132" workbookViewId="0">
      <selection activeCell="A103" sqref="A103"/>
    </sheetView>
  </sheetViews>
  <sheetFormatPr defaultRowHeight="14.4" x14ac:dyDescent="0.3"/>
  <cols>
    <col min="1" max="1" width="23.88671875" bestFit="1" customWidth="1"/>
    <col min="2" max="2" width="28.109375" bestFit="1" customWidth="1"/>
    <col min="3" max="3" width="29.21875" bestFit="1" customWidth="1"/>
    <col min="4" max="4" width="20" customWidth="1"/>
    <col min="5" max="5" width="23.88671875" bestFit="1" customWidth="1"/>
    <col min="10" max="10" width="12.5546875" bestFit="1" customWidth="1"/>
    <col min="11" max="11" width="29.21875" bestFit="1" customWidth="1"/>
    <col min="14" max="14" width="12.5546875" bestFit="1" customWidth="1"/>
    <col min="15" max="15" width="32.44140625" bestFit="1" customWidth="1"/>
  </cols>
  <sheetData>
    <row r="3" spans="1:15" x14ac:dyDescent="0.3">
      <c r="A3" t="s">
        <v>0</v>
      </c>
      <c r="E3" t="s">
        <v>7</v>
      </c>
      <c r="J3" t="s">
        <v>8</v>
      </c>
      <c r="N3" t="s">
        <v>9</v>
      </c>
    </row>
    <row r="4" spans="1:15" x14ac:dyDescent="0.3">
      <c r="A4" t="s">
        <v>3</v>
      </c>
      <c r="E4" s="3" t="s">
        <v>6</v>
      </c>
      <c r="F4" t="s">
        <v>4</v>
      </c>
      <c r="J4" s="3" t="s">
        <v>6</v>
      </c>
      <c r="K4" t="s">
        <v>1</v>
      </c>
      <c r="N4" s="3" t="s">
        <v>6</v>
      </c>
      <c r="O4" t="s">
        <v>2</v>
      </c>
    </row>
    <row r="5" spans="1:15" x14ac:dyDescent="0.3">
      <c r="A5">
        <v>513</v>
      </c>
      <c r="E5" s="4" t="s">
        <v>41</v>
      </c>
      <c r="F5">
        <v>19</v>
      </c>
      <c r="J5" s="4" t="s">
        <v>41</v>
      </c>
      <c r="K5">
        <v>37.789473684210527</v>
      </c>
      <c r="N5" s="4" t="s">
        <v>41</v>
      </c>
      <c r="O5">
        <v>6.666666666666667</v>
      </c>
    </row>
    <row r="6" spans="1:15" x14ac:dyDescent="0.3">
      <c r="E6" s="4" t="s">
        <v>42</v>
      </c>
      <c r="F6">
        <v>14</v>
      </c>
      <c r="J6" s="4" t="s">
        <v>42</v>
      </c>
      <c r="K6">
        <v>38.214285714285715</v>
      </c>
      <c r="N6" s="4" t="s">
        <v>42</v>
      </c>
      <c r="O6">
        <v>3.5</v>
      </c>
    </row>
    <row r="7" spans="1:15" x14ac:dyDescent="0.3">
      <c r="E7" s="4" t="s">
        <v>43</v>
      </c>
      <c r="F7">
        <v>13</v>
      </c>
      <c r="J7" s="4" t="s">
        <v>43</v>
      </c>
      <c r="K7">
        <v>40.92307692307692</v>
      </c>
      <c r="N7" s="4" t="s">
        <v>43</v>
      </c>
      <c r="O7">
        <v>4.5</v>
      </c>
    </row>
    <row r="8" spans="1:15" x14ac:dyDescent="0.3">
      <c r="E8" s="4" t="s">
        <v>44</v>
      </c>
      <c r="F8">
        <v>22</v>
      </c>
      <c r="J8" s="4" t="s">
        <v>44</v>
      </c>
      <c r="K8">
        <v>34.5</v>
      </c>
      <c r="N8" s="4" t="s">
        <v>44</v>
      </c>
      <c r="O8">
        <v>4.8</v>
      </c>
    </row>
    <row r="9" spans="1:15" x14ac:dyDescent="0.3">
      <c r="A9" t="s">
        <v>1</v>
      </c>
      <c r="E9" s="4" t="s">
        <v>45</v>
      </c>
      <c r="F9">
        <v>19</v>
      </c>
      <c r="J9" s="4" t="s">
        <v>45</v>
      </c>
      <c r="K9">
        <v>30.684210526315791</v>
      </c>
      <c r="N9" s="4" t="s">
        <v>45</v>
      </c>
      <c r="O9">
        <v>7.75</v>
      </c>
    </row>
    <row r="10" spans="1:15" x14ac:dyDescent="0.3">
      <c r="A10" s="1">
        <v>36.323586744639378</v>
      </c>
      <c r="E10" s="4" t="s">
        <v>46</v>
      </c>
      <c r="F10">
        <v>15</v>
      </c>
      <c r="J10" s="4" t="s">
        <v>46</v>
      </c>
      <c r="K10">
        <v>37.666666666666664</v>
      </c>
      <c r="N10" s="4" t="s">
        <v>46</v>
      </c>
      <c r="O10">
        <v>6.2</v>
      </c>
    </row>
    <row r="11" spans="1:15" x14ac:dyDescent="0.3">
      <c r="E11" s="4" t="s">
        <v>47</v>
      </c>
      <c r="F11">
        <v>12</v>
      </c>
      <c r="J11" s="4" t="s">
        <v>47</v>
      </c>
      <c r="K11">
        <v>36.083333333333336</v>
      </c>
      <c r="N11" s="4" t="s">
        <v>47</v>
      </c>
      <c r="O11">
        <v>3.75</v>
      </c>
    </row>
    <row r="12" spans="1:15" x14ac:dyDescent="0.3">
      <c r="E12" s="4" t="s">
        <v>48</v>
      </c>
      <c r="F12">
        <v>21</v>
      </c>
      <c r="J12" s="4" t="s">
        <v>48</v>
      </c>
      <c r="K12">
        <v>43.523809523809526</v>
      </c>
      <c r="N12" s="4" t="s">
        <v>48</v>
      </c>
      <c r="O12">
        <v>6.5</v>
      </c>
    </row>
    <row r="13" spans="1:15" x14ac:dyDescent="0.3">
      <c r="A13" t="s">
        <v>2</v>
      </c>
      <c r="E13" s="4" t="s">
        <v>49</v>
      </c>
      <c r="F13">
        <v>12</v>
      </c>
      <c r="J13" s="4" t="s">
        <v>49</v>
      </c>
      <c r="K13">
        <v>29.5</v>
      </c>
      <c r="N13" s="4" t="s">
        <v>49</v>
      </c>
      <c r="O13">
        <v>3</v>
      </c>
    </row>
    <row r="14" spans="1:15" x14ac:dyDescent="0.3">
      <c r="A14" s="1">
        <v>4.9591836734693882</v>
      </c>
      <c r="E14" s="4" t="s">
        <v>50</v>
      </c>
      <c r="F14">
        <v>13</v>
      </c>
      <c r="J14" s="4" t="s">
        <v>50</v>
      </c>
      <c r="K14">
        <v>38.07692307692308</v>
      </c>
      <c r="N14" s="4" t="s">
        <v>50</v>
      </c>
      <c r="O14">
        <v>4.5</v>
      </c>
    </row>
    <row r="15" spans="1:15" x14ac:dyDescent="0.3">
      <c r="E15" s="4" t="s">
        <v>51</v>
      </c>
      <c r="F15">
        <v>13</v>
      </c>
      <c r="J15" s="4" t="s">
        <v>51</v>
      </c>
      <c r="K15">
        <v>35.846153846153847</v>
      </c>
      <c r="N15" s="4" t="s">
        <v>51</v>
      </c>
      <c r="O15">
        <v>6</v>
      </c>
    </row>
    <row r="16" spans="1:15" x14ac:dyDescent="0.3">
      <c r="E16" s="4" t="s">
        <v>52</v>
      </c>
      <c r="F16">
        <v>16</v>
      </c>
      <c r="J16" s="4" t="s">
        <v>52</v>
      </c>
      <c r="K16">
        <v>32.625</v>
      </c>
      <c r="N16" s="4" t="s">
        <v>52</v>
      </c>
      <c r="O16">
        <v>5.2</v>
      </c>
    </row>
    <row r="17" spans="5:15" x14ac:dyDescent="0.3">
      <c r="E17" s="4" t="s">
        <v>53</v>
      </c>
      <c r="F17">
        <v>20</v>
      </c>
      <c r="J17" s="4" t="s">
        <v>53</v>
      </c>
      <c r="K17">
        <v>39.200000000000003</v>
      </c>
      <c r="N17" s="4" t="s">
        <v>53</v>
      </c>
      <c r="O17">
        <v>4.4000000000000004</v>
      </c>
    </row>
    <row r="18" spans="5:15" x14ac:dyDescent="0.3">
      <c r="E18" s="4" t="s">
        <v>54</v>
      </c>
      <c r="F18">
        <v>25</v>
      </c>
      <c r="J18" s="4" t="s">
        <v>54</v>
      </c>
      <c r="K18">
        <v>35.28</v>
      </c>
      <c r="N18" s="4" t="s">
        <v>54</v>
      </c>
      <c r="O18">
        <v>3.4545454545454546</v>
      </c>
    </row>
    <row r="19" spans="5:15" x14ac:dyDescent="0.3">
      <c r="E19" s="4" t="s">
        <v>55</v>
      </c>
      <c r="F19">
        <v>20</v>
      </c>
      <c r="J19" s="4" t="s">
        <v>55</v>
      </c>
      <c r="K19">
        <v>32.549999999999997</v>
      </c>
      <c r="N19" s="4" t="s">
        <v>55</v>
      </c>
      <c r="O19">
        <v>4.4000000000000004</v>
      </c>
    </row>
    <row r="20" spans="5:15" x14ac:dyDescent="0.3">
      <c r="E20" s="4" t="s">
        <v>56</v>
      </c>
      <c r="F20">
        <v>14</v>
      </c>
      <c r="J20" s="4" t="s">
        <v>56</v>
      </c>
      <c r="K20">
        <v>35.642857142857146</v>
      </c>
      <c r="N20" s="4" t="s">
        <v>56</v>
      </c>
      <c r="O20">
        <v>5.833333333333333</v>
      </c>
    </row>
    <row r="21" spans="5:15" x14ac:dyDescent="0.3">
      <c r="E21" s="4" t="s">
        <v>57</v>
      </c>
      <c r="F21">
        <v>17</v>
      </c>
      <c r="J21" s="4" t="s">
        <v>57</v>
      </c>
      <c r="K21">
        <v>38.764705882352942</v>
      </c>
      <c r="N21" s="4" t="s">
        <v>57</v>
      </c>
      <c r="O21">
        <v>4.4444444444444446</v>
      </c>
    </row>
    <row r="22" spans="5:15" x14ac:dyDescent="0.3">
      <c r="E22" s="4" t="s">
        <v>58</v>
      </c>
      <c r="F22">
        <v>20</v>
      </c>
      <c r="J22" s="4" t="s">
        <v>58</v>
      </c>
      <c r="K22">
        <v>39.9</v>
      </c>
      <c r="N22" s="4" t="s">
        <v>58</v>
      </c>
      <c r="O22">
        <v>5.333333333333333</v>
      </c>
    </row>
    <row r="23" spans="5:15" x14ac:dyDescent="0.3">
      <c r="E23" s="4" t="s">
        <v>59</v>
      </c>
      <c r="F23">
        <v>10</v>
      </c>
      <c r="J23" s="4" t="s">
        <v>59</v>
      </c>
      <c r="K23">
        <v>41.6</v>
      </c>
      <c r="N23" s="4" t="s">
        <v>59</v>
      </c>
      <c r="O23">
        <v>5.333333333333333</v>
      </c>
    </row>
    <row r="24" spans="5:15" x14ac:dyDescent="0.3">
      <c r="E24" s="4" t="s">
        <v>60</v>
      </c>
      <c r="F24">
        <v>17</v>
      </c>
      <c r="J24" s="4" t="s">
        <v>60</v>
      </c>
      <c r="K24">
        <v>39.470588235294116</v>
      </c>
      <c r="N24" s="4" t="s">
        <v>60</v>
      </c>
      <c r="O24">
        <v>5.5714285714285712</v>
      </c>
    </row>
    <row r="25" spans="5:15" x14ac:dyDescent="0.3">
      <c r="E25" s="4" t="s">
        <v>61</v>
      </c>
      <c r="F25">
        <v>15</v>
      </c>
      <c r="J25" s="4" t="s">
        <v>61</v>
      </c>
      <c r="K25">
        <v>27.733333333333334</v>
      </c>
      <c r="N25" s="4" t="s">
        <v>61</v>
      </c>
      <c r="O25">
        <v>5</v>
      </c>
    </row>
    <row r="26" spans="5:15" x14ac:dyDescent="0.3">
      <c r="E26" s="4" t="s">
        <v>62</v>
      </c>
      <c r="F26">
        <v>16</v>
      </c>
      <c r="J26" s="4" t="s">
        <v>62</v>
      </c>
      <c r="K26">
        <v>36.875</v>
      </c>
      <c r="N26" s="4" t="s">
        <v>62</v>
      </c>
      <c r="O26">
        <v>6.4</v>
      </c>
    </row>
    <row r="27" spans="5:15" x14ac:dyDescent="0.3">
      <c r="E27" s="4" t="s">
        <v>63</v>
      </c>
      <c r="F27">
        <v>18</v>
      </c>
      <c r="J27" s="4" t="s">
        <v>63</v>
      </c>
      <c r="K27">
        <v>40.333333333333336</v>
      </c>
      <c r="N27" s="4" t="s">
        <v>63</v>
      </c>
      <c r="O27">
        <v>5.333333333333333</v>
      </c>
    </row>
    <row r="28" spans="5:15" x14ac:dyDescent="0.3">
      <c r="E28" s="4" t="s">
        <v>64</v>
      </c>
      <c r="F28">
        <v>16</v>
      </c>
      <c r="J28" s="4" t="s">
        <v>64</v>
      </c>
      <c r="K28">
        <v>36.5</v>
      </c>
      <c r="N28" s="4" t="s">
        <v>64</v>
      </c>
      <c r="O28">
        <v>3.75</v>
      </c>
    </row>
    <row r="29" spans="5:15" x14ac:dyDescent="0.3">
      <c r="E29" s="4" t="s">
        <v>65</v>
      </c>
      <c r="F29">
        <v>15</v>
      </c>
      <c r="J29" s="4" t="s">
        <v>65</v>
      </c>
      <c r="K29">
        <v>32.866666666666667</v>
      </c>
      <c r="N29" s="4" t="s">
        <v>65</v>
      </c>
      <c r="O29">
        <v>6.333333333333333</v>
      </c>
    </row>
    <row r="30" spans="5:15" x14ac:dyDescent="0.3">
      <c r="E30" s="4" t="s">
        <v>66</v>
      </c>
      <c r="F30">
        <v>14</v>
      </c>
      <c r="J30" s="4" t="s">
        <v>66</v>
      </c>
      <c r="K30">
        <v>36.642857142857146</v>
      </c>
      <c r="N30" s="4" t="s">
        <v>66</v>
      </c>
      <c r="O30">
        <v>10</v>
      </c>
    </row>
    <row r="31" spans="5:15" x14ac:dyDescent="0.3">
      <c r="E31" s="4" t="s">
        <v>67</v>
      </c>
      <c r="F31">
        <v>16</v>
      </c>
      <c r="J31" s="4" t="s">
        <v>67</v>
      </c>
      <c r="K31">
        <v>36.5625</v>
      </c>
      <c r="N31" s="4" t="s">
        <v>67</v>
      </c>
      <c r="O31">
        <v>5</v>
      </c>
    </row>
    <row r="32" spans="5:15" x14ac:dyDescent="0.3">
      <c r="E32" s="4" t="s">
        <v>68</v>
      </c>
      <c r="F32">
        <v>20</v>
      </c>
      <c r="J32" s="4" t="s">
        <v>68</v>
      </c>
      <c r="K32">
        <v>32.15</v>
      </c>
      <c r="N32" s="4" t="s">
        <v>68</v>
      </c>
      <c r="O32">
        <v>5.333333333333333</v>
      </c>
    </row>
    <row r="33" spans="1:15" x14ac:dyDescent="0.3">
      <c r="E33" s="4" t="s">
        <v>69</v>
      </c>
      <c r="F33">
        <v>19</v>
      </c>
      <c r="J33" s="4" t="s">
        <v>69</v>
      </c>
      <c r="K33">
        <v>38.368421052631582</v>
      </c>
      <c r="N33" s="4" t="s">
        <v>69</v>
      </c>
      <c r="O33">
        <v>4.8</v>
      </c>
    </row>
    <row r="34" spans="1:15" x14ac:dyDescent="0.3">
      <c r="E34" s="4" t="s">
        <v>70</v>
      </c>
      <c r="F34">
        <v>14</v>
      </c>
      <c r="J34" s="4" t="s">
        <v>70</v>
      </c>
      <c r="K34">
        <v>33.071428571428569</v>
      </c>
      <c r="N34" s="4" t="s">
        <v>70</v>
      </c>
      <c r="O34">
        <v>5</v>
      </c>
    </row>
    <row r="35" spans="1:15" x14ac:dyDescent="0.3">
      <c r="E35" s="4" t="s">
        <v>71</v>
      </c>
      <c r="F35">
        <v>18</v>
      </c>
      <c r="J35" s="4" t="s">
        <v>71</v>
      </c>
      <c r="K35">
        <v>36.444444444444443</v>
      </c>
      <c r="N35" s="4" t="s">
        <v>71</v>
      </c>
      <c r="O35">
        <v>1.4</v>
      </c>
    </row>
    <row r="36" spans="1:15" x14ac:dyDescent="0.3">
      <c r="E36" s="4" t="s">
        <v>5</v>
      </c>
      <c r="F36">
        <v>513</v>
      </c>
      <c r="J36" s="4" t="s">
        <v>5</v>
      </c>
      <c r="K36" s="1">
        <v>36.323586744639378</v>
      </c>
      <c r="N36" s="4" t="s">
        <v>5</v>
      </c>
      <c r="O36" s="1">
        <v>4.9591836734693882</v>
      </c>
    </row>
    <row r="38" spans="1:15" x14ac:dyDescent="0.3">
      <c r="A38" s="3" t="s">
        <v>6</v>
      </c>
      <c r="B38" t="s">
        <v>10</v>
      </c>
      <c r="C38" t="s">
        <v>13</v>
      </c>
    </row>
    <row r="39" spans="1:15" x14ac:dyDescent="0.3">
      <c r="A39" s="4" t="s">
        <v>11</v>
      </c>
      <c r="B39" s="1">
        <v>269</v>
      </c>
      <c r="C39" s="5">
        <v>0.52436647173489281</v>
      </c>
    </row>
    <row r="40" spans="1:15" x14ac:dyDescent="0.3">
      <c r="A40" s="4" t="s">
        <v>12</v>
      </c>
      <c r="B40" s="1">
        <v>244</v>
      </c>
      <c r="C40" s="5">
        <v>0.47563352826510719</v>
      </c>
    </row>
    <row r="41" spans="1:15" x14ac:dyDescent="0.3">
      <c r="A41" s="4" t="s">
        <v>5</v>
      </c>
      <c r="B41" s="1">
        <v>513</v>
      </c>
      <c r="C41" s="5">
        <v>1</v>
      </c>
    </row>
    <row r="44" spans="1:15" x14ac:dyDescent="0.3">
      <c r="A44" s="7" t="s">
        <v>14</v>
      </c>
      <c r="B44" s="8" t="s">
        <v>16</v>
      </c>
      <c r="C44" s="8" t="s">
        <v>15</v>
      </c>
      <c r="D44" s="8"/>
    </row>
    <row r="45" spans="1:15" x14ac:dyDescent="0.3">
      <c r="A45" s="6" t="str">
        <f>A40</f>
        <v>Not Admitted</v>
      </c>
      <c r="B45" s="6">
        <f>B40</f>
        <v>244</v>
      </c>
      <c r="C45" s="9">
        <f>C40</f>
        <v>0.47563352826510719</v>
      </c>
    </row>
    <row r="46" spans="1:15" x14ac:dyDescent="0.3">
      <c r="A46" s="6" t="str">
        <f>A39</f>
        <v>Admitted</v>
      </c>
      <c r="B46" s="6">
        <f>B39</f>
        <v>269</v>
      </c>
      <c r="C46" s="9">
        <f>C39</f>
        <v>0.52436647173489281</v>
      </c>
    </row>
    <row r="51" spans="1:2" x14ac:dyDescent="0.3">
      <c r="A51" s="3" t="s">
        <v>6</v>
      </c>
      <c r="B51" t="s">
        <v>25</v>
      </c>
    </row>
    <row r="52" spans="1:2" x14ac:dyDescent="0.3">
      <c r="A52" s="4" t="s">
        <v>17</v>
      </c>
      <c r="B52" s="10">
        <v>76</v>
      </c>
    </row>
    <row r="53" spans="1:2" x14ac:dyDescent="0.3">
      <c r="A53" s="4" t="s">
        <v>18</v>
      </c>
      <c r="B53" s="10">
        <v>69</v>
      </c>
    </row>
    <row r="54" spans="1:2" x14ac:dyDescent="0.3">
      <c r="A54" s="4" t="s">
        <v>19</v>
      </c>
      <c r="B54" s="10">
        <v>64</v>
      </c>
    </row>
    <row r="55" spans="1:2" x14ac:dyDescent="0.3">
      <c r="A55" s="4" t="s">
        <v>20</v>
      </c>
      <c r="B55" s="10">
        <v>59</v>
      </c>
    </row>
    <row r="56" spans="1:2" x14ac:dyDescent="0.3">
      <c r="A56" s="4" t="s">
        <v>21</v>
      </c>
      <c r="B56" s="10">
        <v>58</v>
      </c>
    </row>
    <row r="57" spans="1:2" x14ac:dyDescent="0.3">
      <c r="A57" s="4" t="s">
        <v>22</v>
      </c>
      <c r="B57" s="10">
        <v>66</v>
      </c>
    </row>
    <row r="58" spans="1:2" x14ac:dyDescent="0.3">
      <c r="A58" s="4" t="s">
        <v>23</v>
      </c>
      <c r="B58" s="10">
        <v>67</v>
      </c>
    </row>
    <row r="59" spans="1:2" x14ac:dyDescent="0.3">
      <c r="A59" s="4" t="s">
        <v>24</v>
      </c>
      <c r="B59" s="10">
        <v>54</v>
      </c>
    </row>
    <row r="60" spans="1:2" x14ac:dyDescent="0.3">
      <c r="A60" s="4" t="s">
        <v>5</v>
      </c>
      <c r="B60" s="10">
        <v>513</v>
      </c>
    </row>
    <row r="72" spans="1:2" x14ac:dyDescent="0.3">
      <c r="A72" s="3" t="s">
        <v>6</v>
      </c>
      <c r="B72" t="s">
        <v>3</v>
      </c>
    </row>
    <row r="73" spans="1:2" x14ac:dyDescent="0.3">
      <c r="A73" s="4" t="s">
        <v>28</v>
      </c>
      <c r="B73" s="10">
        <v>316</v>
      </c>
    </row>
    <row r="74" spans="1:2" x14ac:dyDescent="0.3">
      <c r="A74" s="4" t="s">
        <v>29</v>
      </c>
      <c r="B74" s="10">
        <v>197</v>
      </c>
    </row>
    <row r="75" spans="1:2" x14ac:dyDescent="0.3">
      <c r="A75" s="4" t="s">
        <v>5</v>
      </c>
      <c r="B75" s="10">
        <v>513</v>
      </c>
    </row>
    <row r="83" spans="1:2" x14ac:dyDescent="0.3">
      <c r="A83" s="3" t="s">
        <v>6</v>
      </c>
      <c r="B83" t="s">
        <v>38</v>
      </c>
    </row>
    <row r="84" spans="1:2" x14ac:dyDescent="0.3">
      <c r="A84" s="4" t="s">
        <v>30</v>
      </c>
      <c r="B84" s="1">
        <v>241</v>
      </c>
    </row>
    <row r="85" spans="1:2" x14ac:dyDescent="0.3">
      <c r="A85" s="4" t="s">
        <v>26</v>
      </c>
      <c r="B85" s="1">
        <v>272</v>
      </c>
    </row>
    <row r="86" spans="1:2" x14ac:dyDescent="0.3">
      <c r="A86" s="4" t="s">
        <v>5</v>
      </c>
      <c r="B86" s="10">
        <v>513</v>
      </c>
    </row>
    <row r="89" spans="1:2" x14ac:dyDescent="0.3">
      <c r="A89" s="3" t="s">
        <v>6</v>
      </c>
      <c r="B89" t="s">
        <v>39</v>
      </c>
    </row>
    <row r="90" spans="1:2" x14ac:dyDescent="0.3">
      <c r="A90" s="4" t="s">
        <v>36</v>
      </c>
      <c r="B90" s="10">
        <v>4</v>
      </c>
    </row>
    <row r="91" spans="1:2" x14ac:dyDescent="0.3">
      <c r="A91" s="4" t="s">
        <v>37</v>
      </c>
      <c r="B91" s="10">
        <v>5</v>
      </c>
    </row>
    <row r="92" spans="1:2" x14ac:dyDescent="0.3">
      <c r="A92" s="4" t="s">
        <v>35</v>
      </c>
      <c r="B92" s="10">
        <v>9</v>
      </c>
    </row>
    <row r="93" spans="1:2" x14ac:dyDescent="0.3">
      <c r="A93" s="4" t="s">
        <v>33</v>
      </c>
      <c r="B93" s="10">
        <v>14</v>
      </c>
    </row>
    <row r="94" spans="1:2" x14ac:dyDescent="0.3">
      <c r="A94" s="4" t="s">
        <v>34</v>
      </c>
      <c r="B94" s="10">
        <v>14</v>
      </c>
    </row>
    <row r="95" spans="1:2" x14ac:dyDescent="0.3">
      <c r="A95" s="4" t="s">
        <v>32</v>
      </c>
      <c r="B95" s="10">
        <v>65</v>
      </c>
    </row>
    <row r="96" spans="1:2" x14ac:dyDescent="0.3">
      <c r="A96" s="4" t="s">
        <v>31</v>
      </c>
      <c r="B96" s="10">
        <v>103</v>
      </c>
    </row>
    <row r="97" spans="1:2" x14ac:dyDescent="0.3">
      <c r="A97" s="4" t="s">
        <v>27</v>
      </c>
      <c r="B97" s="10">
        <v>299</v>
      </c>
    </row>
    <row r="98" spans="1:2" x14ac:dyDescent="0.3">
      <c r="A98" s="4" t="s">
        <v>5</v>
      </c>
      <c r="B98" s="10">
        <v>513</v>
      </c>
    </row>
    <row r="102" spans="1:2" x14ac:dyDescent="0.3">
      <c r="A102" s="3" t="s">
        <v>6</v>
      </c>
    </row>
    <row r="103" spans="1:2" x14ac:dyDescent="0.3">
      <c r="A103" s="4" t="s">
        <v>40</v>
      </c>
    </row>
    <row r="104" spans="1:2" x14ac:dyDescent="0.3">
      <c r="A104"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FB85D-D4C2-4F5B-ABEC-E9A45156CB84}">
  <dimension ref="A1:M16"/>
  <sheetViews>
    <sheetView tabSelected="1" zoomScale="175" workbookViewId="0">
      <selection activeCell="O10" sqref="O10"/>
    </sheetView>
  </sheetViews>
  <sheetFormatPr defaultRowHeight="14.4" x14ac:dyDescent="0.3"/>
  <sheetData>
    <row r="1" spans="1:13" x14ac:dyDescent="0.3">
      <c r="A1" s="2"/>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x14ac:dyDescent="0.3">
      <c r="A5" s="2"/>
      <c r="B5" s="2"/>
      <c r="C5" s="2"/>
      <c r="D5" s="2"/>
      <c r="E5" s="2"/>
      <c r="F5" s="2"/>
      <c r="G5" s="2"/>
      <c r="H5" s="2"/>
      <c r="I5" s="2"/>
      <c r="J5" s="2"/>
      <c r="K5" s="2"/>
      <c r="L5" s="2"/>
      <c r="M5" s="2"/>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2"/>
      <c r="M15" s="2"/>
    </row>
    <row r="16" spans="1:13" x14ac:dyDescent="0.3">
      <c r="A16" s="2"/>
      <c r="B16" s="2"/>
      <c r="C16" s="2"/>
      <c r="D16" s="2"/>
      <c r="E16" s="2"/>
      <c r="F16" s="2"/>
      <c r="G16" s="2"/>
      <c r="H16" s="2"/>
      <c r="I16" s="2"/>
      <c r="J16" s="2"/>
      <c r="K16" s="2"/>
      <c r="L16" s="2"/>
      <c r="M16" s="2"/>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55C7-B81E-4C37-95BE-2DF5181999BB}">
  <dimension ref="A1"/>
  <sheetViews>
    <sheetView zoomScale="123"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19DF3-BA60-47DE-9F3C-E5FADF4FE24D}">
  <dimension ref="A1"/>
  <sheetViews>
    <sheetView zoomScale="134"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BBC1F-86EE-45AF-B9D7-0F398E92D0C5}">
  <dimension ref="A1"/>
  <sheetViews>
    <sheetView topLeftCell="B1" zoomScaleNormal="10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CB0D264-94C8-4363-AEFC-D32BD42D62DE}">
  <ds:schemaRefs/>
</ds:datastoreItem>
</file>

<file path=customXml/itemProps2.xml><?xml version="1.0" encoding="utf-8"?>
<ds:datastoreItem xmlns:ds="http://schemas.openxmlformats.org/officeDocument/2006/customXml" ds:itemID="{E735D015-8779-48EC-BBDB-25C350EEBE88}">
  <ds:schemaRefs/>
</ds:datastoreItem>
</file>

<file path=customXml/itemProps3.xml><?xml version="1.0" encoding="utf-8"?>
<ds:datastoreItem xmlns:ds="http://schemas.openxmlformats.org/officeDocument/2006/customXml" ds:itemID="{160BE15C-5693-4B4D-8DAC-94F017D622E1}">
  <ds:schemaRefs/>
</ds:datastoreItem>
</file>

<file path=customXml/itemProps4.xml><?xml version="1.0" encoding="utf-8"?>
<ds:datastoreItem xmlns:ds="http://schemas.openxmlformats.org/officeDocument/2006/customXml" ds:itemID="{55493B6D-0E67-4916-AAD4-4BE6567F5A17}">
  <ds:schemaRefs/>
</ds:datastoreItem>
</file>

<file path=customXml/itemProps5.xml><?xml version="1.0" encoding="utf-8"?>
<ds:datastoreItem xmlns:ds="http://schemas.openxmlformats.org/officeDocument/2006/customXml" ds:itemID="{68BC4BCA-A1C0-425A-AEB2-236ABA46746C}">
  <ds:schemaRefs/>
</ds:datastoreItem>
</file>

<file path=customXml/itemProps6.xml><?xml version="1.0" encoding="utf-8"?>
<ds:datastoreItem xmlns:ds="http://schemas.openxmlformats.org/officeDocument/2006/customXml" ds:itemID="{7C233B7C-36F7-4EB1-BA3F-D531C29AE94B}">
  <ds:schemaRefs/>
</ds:datastoreItem>
</file>

<file path=customXml/itemProps7.xml><?xml version="1.0" encoding="utf-8"?>
<ds:datastoreItem xmlns:ds="http://schemas.openxmlformats.org/officeDocument/2006/customXml" ds:itemID="{CCDDFAAD-6217-49FF-B8D0-50AF13800730}">
  <ds:schemaRefs/>
</ds:datastoreItem>
</file>

<file path=customXml/itemProps8.xml><?xml version="1.0" encoding="utf-8"?>
<ds:datastoreItem xmlns:ds="http://schemas.openxmlformats.org/officeDocument/2006/customXml" ds:itemID="{F0E1DD25-1E0A-492B-A335-7D8CB54CBED3}">
  <ds:schemaRefs/>
</ds:datastoreItem>
</file>

<file path=customXml/itemProps9.xml><?xml version="1.0" encoding="utf-8"?>
<ds:datastoreItem xmlns:ds="http://schemas.openxmlformats.org/officeDocument/2006/customXml" ds:itemID="{6936CB76-9682-4BA2-B25C-774CD2CEC5B4}">
  <ds:schemaRefs/>
</ds:datastoreItem>
</file>

<file path=customXml/itemProps10.xml><?xml version="1.0" encoding="utf-8"?>
<ds:datastoreItem xmlns:ds="http://schemas.openxmlformats.org/officeDocument/2006/customXml" ds:itemID="{D51872B4-92D6-497C-8484-999526C714D9}">
  <ds:schemaRefs/>
</ds:datastoreItem>
</file>

<file path=customXml/itemProps11.xml><?xml version="1.0" encoding="utf-8"?>
<ds:datastoreItem xmlns:ds="http://schemas.openxmlformats.org/officeDocument/2006/customXml" ds:itemID="{A4344A44-4B21-4E1A-A111-54ECEA61FB61}">
  <ds:schemaRefs/>
</ds:datastoreItem>
</file>

<file path=customXml/itemProps12.xml><?xml version="1.0" encoding="utf-8"?>
<ds:datastoreItem xmlns:ds="http://schemas.openxmlformats.org/officeDocument/2006/customXml" ds:itemID="{B81DDBFE-F467-463F-9C9B-1BA4496409C9}">
  <ds:schemaRefs/>
</ds:datastoreItem>
</file>

<file path=customXml/itemProps13.xml><?xml version="1.0" encoding="utf-8"?>
<ds:datastoreItem xmlns:ds="http://schemas.openxmlformats.org/officeDocument/2006/customXml" ds:itemID="{E97C5EAE-D57D-43E5-9919-DD6ED6454D07}">
  <ds:schemaRefs>
    <ds:schemaRef ds:uri="http://schemas.microsoft.com/DataMashup"/>
  </ds:schemaRefs>
</ds:datastoreItem>
</file>

<file path=customXml/itemProps14.xml><?xml version="1.0" encoding="utf-8"?>
<ds:datastoreItem xmlns:ds="http://schemas.openxmlformats.org/officeDocument/2006/customXml" ds:itemID="{6AC640E8-DC2F-4D81-A148-6172EE79DC7C}">
  <ds:schemaRefs/>
</ds:datastoreItem>
</file>

<file path=customXml/itemProps15.xml><?xml version="1.0" encoding="utf-8"?>
<ds:datastoreItem xmlns:ds="http://schemas.openxmlformats.org/officeDocument/2006/customXml" ds:itemID="{3EA3DAC2-2434-4FBE-A9E6-0E1010AFC97F}">
  <ds:schemaRefs/>
</ds:datastoreItem>
</file>

<file path=customXml/itemProps16.xml><?xml version="1.0" encoding="utf-8"?>
<ds:datastoreItem xmlns:ds="http://schemas.openxmlformats.org/officeDocument/2006/customXml" ds:itemID="{9A63AEBE-DD46-4109-BC6A-F75E71F344B7}">
  <ds:schemaRefs/>
</ds:datastoreItem>
</file>

<file path=customXml/itemProps17.xml><?xml version="1.0" encoding="utf-8"?>
<ds:datastoreItem xmlns:ds="http://schemas.openxmlformats.org/officeDocument/2006/customXml" ds:itemID="{1FB17239-DE98-426B-8AA3-99415C19B6FE}">
  <ds:schemaRefs/>
</ds:datastoreItem>
</file>

<file path=customXml/itemProps18.xml><?xml version="1.0" encoding="utf-8"?>
<ds:datastoreItem xmlns:ds="http://schemas.openxmlformats.org/officeDocument/2006/customXml" ds:itemID="{B3089619-F615-40E9-8FA2-459D40FF96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Waittime daily trend</vt:lpstr>
      <vt:lpstr>Daily ER No of Petient</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sonone</dc:creator>
  <cp:lastModifiedBy>omkar sonone</cp:lastModifiedBy>
  <dcterms:created xsi:type="dcterms:W3CDTF">2026-05-16T11:30:21Z</dcterms:created>
  <dcterms:modified xsi:type="dcterms:W3CDTF">2026-05-25T10:07:07Z</dcterms:modified>
</cp:coreProperties>
</file>